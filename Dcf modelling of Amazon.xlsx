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A:\docs\Assignment\Finance\Projects\"/>
    </mc:Choice>
  </mc:AlternateContent>
  <xr:revisionPtr revIDLastSave="0" documentId="13_ncr:1_{44271110-605F-493D-9EA4-73604EB4C655}" xr6:coauthVersionLast="47" xr6:coauthVersionMax="47" xr10:uidLastSave="{00000000-0000-0000-0000-000000000000}"/>
  <bookViews>
    <workbookView xWindow="-96" yWindow="0" windowWidth="11712" windowHeight="13776" firstSheet="1" activeTab="1" xr2:uid="{00000000-000D-0000-FFFF-FFFF00000000}"/>
  </bookViews>
  <sheets>
    <sheet name="Cover" sheetId="1" r:id="rId1"/>
    <sheet name="Output" sheetId="2" r:id="rId2"/>
    <sheet name="Input" sheetId="3" r:id="rId3"/>
    <sheet name="DCF Evaluation" sheetId="5" r:id="rId4"/>
    <sheet name="Model" sheetId="4" r:id="rId5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K15" i="5" l="1"/>
  <c r="AJ15" i="5"/>
  <c r="Y17" i="5"/>
  <c r="Z17" i="5"/>
  <c r="H35" i="5"/>
  <c r="J35" i="5" s="1"/>
  <c r="N27" i="5"/>
  <c r="L27" i="5"/>
  <c r="J27" i="5"/>
  <c r="H27" i="5"/>
  <c r="F27" i="5"/>
  <c r="D27" i="5"/>
  <c r="F30" i="5"/>
  <c r="H30" i="5"/>
  <c r="J30" i="5"/>
  <c r="L30" i="5"/>
  <c r="N30" i="5"/>
  <c r="D30" i="5"/>
  <c r="F24" i="5"/>
  <c r="H24" i="5"/>
  <c r="J24" i="5"/>
  <c r="L24" i="5"/>
  <c r="N24" i="5"/>
  <c r="D24" i="5"/>
  <c r="H15" i="5"/>
  <c r="J15" i="5"/>
  <c r="L15" i="5"/>
  <c r="N15" i="5"/>
  <c r="F15" i="5"/>
  <c r="D15" i="5"/>
  <c r="N11" i="5"/>
  <c r="L11" i="5"/>
  <c r="J11" i="5"/>
  <c r="H11" i="5"/>
  <c r="F11" i="5"/>
  <c r="D11" i="5"/>
  <c r="K316" i="4"/>
  <c r="Z11" i="5"/>
  <c r="Y11" i="5"/>
  <c r="K121" i="4"/>
  <c r="L121" i="4" s="1"/>
  <c r="M121" i="4" s="1"/>
  <c r="N121" i="4" s="1"/>
  <c r="O121" i="4" s="1"/>
  <c r="J128" i="4"/>
  <c r="L35" i="5" l="1"/>
  <c r="F204" i="4"/>
  <c r="F206" i="4" s="1"/>
  <c r="F171" i="4"/>
  <c r="G171" i="4"/>
  <c r="H171" i="4"/>
  <c r="I171" i="4"/>
  <c r="F173" i="4"/>
  <c r="G173" i="4"/>
  <c r="H173" i="4"/>
  <c r="I173" i="4"/>
  <c r="F175" i="4"/>
  <c r="G175" i="4"/>
  <c r="H175" i="4"/>
  <c r="I175" i="4"/>
  <c r="F180" i="4"/>
  <c r="G180" i="4"/>
  <c r="H180" i="4"/>
  <c r="I180" i="4"/>
  <c r="K187" i="4"/>
  <c r="K185" i="4"/>
  <c r="Y19" i="5"/>
  <c r="G51" i="5"/>
  <c r="F51" i="5"/>
  <c r="I66" i="3"/>
  <c r="J66" i="3" s="1"/>
  <c r="I67" i="3"/>
  <c r="M67" i="4" s="1"/>
  <c r="M336" i="4" s="1"/>
  <c r="I54" i="3"/>
  <c r="J54" i="3" s="1"/>
  <c r="N186" i="4" s="1"/>
  <c r="I55" i="3"/>
  <c r="I53" i="3"/>
  <c r="J53" i="3" s="1"/>
  <c r="N185" i="4" s="1"/>
  <c r="I27" i="3"/>
  <c r="J27" i="3" s="1"/>
  <c r="I28" i="3"/>
  <c r="J28" i="3" s="1"/>
  <c r="K28" i="3" s="1"/>
  <c r="I29" i="3"/>
  <c r="J29" i="3" s="1"/>
  <c r="I26" i="3"/>
  <c r="J26" i="3" s="1"/>
  <c r="I19" i="3"/>
  <c r="I20" i="3"/>
  <c r="J20" i="3" s="1"/>
  <c r="K20" i="3" s="1"/>
  <c r="I21" i="3"/>
  <c r="J21" i="3" s="1"/>
  <c r="I18" i="3"/>
  <c r="J18" i="3" s="1"/>
  <c r="I13" i="3"/>
  <c r="J13" i="3" s="1"/>
  <c r="I12" i="3"/>
  <c r="J12" i="3" s="1"/>
  <c r="I11" i="3"/>
  <c r="I10" i="3"/>
  <c r="J10" i="3" s="1"/>
  <c r="O45" i="4"/>
  <c r="O89" i="4" s="1"/>
  <c r="O140" i="4" s="1"/>
  <c r="O170" i="4" s="1"/>
  <c r="O213" i="4" s="1"/>
  <c r="N45" i="4"/>
  <c r="N89" i="4" s="1"/>
  <c r="N140" i="4" s="1"/>
  <c r="N170" i="4" s="1"/>
  <c r="N213" i="4" s="1"/>
  <c r="M45" i="4"/>
  <c r="M89" i="4" s="1"/>
  <c r="M140" i="4" s="1"/>
  <c r="M170" i="4" s="1"/>
  <c r="M213" i="4" s="1"/>
  <c r="AK13" i="5"/>
  <c r="AJ13" i="5"/>
  <c r="AF19" i="5"/>
  <c r="V13" i="5" s="1"/>
  <c r="AE19" i="5"/>
  <c r="T13" i="5" s="1"/>
  <c r="Y25" i="5"/>
  <c r="K55" i="5" s="1"/>
  <c r="N35" i="5" l="1"/>
  <c r="I17" i="3" a="1"/>
  <c r="I17" i="3" s="1"/>
  <c r="I9" i="3" a="1"/>
  <c r="I9" i="3" s="1"/>
  <c r="M145" i="4" s="1"/>
  <c r="J25" i="3" a="1"/>
  <c r="J25" i="3" s="1"/>
  <c r="N216" i="4" s="1"/>
  <c r="N60" i="4" s="1"/>
  <c r="N61" i="4" s="1"/>
  <c r="N335" i="4" s="1"/>
  <c r="I25" i="3" a="1"/>
  <c r="I25" i="3" s="1"/>
  <c r="M216" i="4" s="1"/>
  <c r="M261" i="4" s="1"/>
  <c r="K26" i="3"/>
  <c r="G187" i="4"/>
  <c r="G195" i="4" s="1"/>
  <c r="K18" i="3"/>
  <c r="M312" i="4"/>
  <c r="F187" i="4"/>
  <c r="F195" i="4" s="1"/>
  <c r="M337" i="4"/>
  <c r="I186" i="4"/>
  <c r="I194" i="4" s="1"/>
  <c r="M372" i="4"/>
  <c r="H186" i="4"/>
  <c r="H194" i="4" s="1"/>
  <c r="F186" i="4"/>
  <c r="F194" i="4" s="1"/>
  <c r="J67" i="3"/>
  <c r="K67" i="3" s="1"/>
  <c r="J11" i="3"/>
  <c r="J9" i="3" s="1" a="1"/>
  <c r="J9" i="3" s="1"/>
  <c r="N145" i="4" s="1"/>
  <c r="M69" i="4"/>
  <c r="K10" i="3"/>
  <c r="K27" i="3"/>
  <c r="H187" i="4"/>
  <c r="H195" i="4" s="1"/>
  <c r="K29" i="3"/>
  <c r="J19" i="3"/>
  <c r="J17" i="3" s="1" a="1"/>
  <c r="J17" i="3" s="1"/>
  <c r="K21" i="3"/>
  <c r="I187" i="4"/>
  <c r="I195" i="4" s="1"/>
  <c r="O259" i="4"/>
  <c r="O295" i="4" s="1"/>
  <c r="O327" i="4" s="1"/>
  <c r="O364" i="4" s="1"/>
  <c r="L232" i="4"/>
  <c r="J232" i="4"/>
  <c r="M259" i="4"/>
  <c r="M295" i="4" s="1"/>
  <c r="M327" i="4" s="1"/>
  <c r="M364" i="4" s="1"/>
  <c r="N337" i="4"/>
  <c r="N372" i="4"/>
  <c r="N69" i="4"/>
  <c r="K232" i="4"/>
  <c r="N259" i="4"/>
  <c r="N295" i="4" s="1"/>
  <c r="N327" i="4" s="1"/>
  <c r="N364" i="4" s="1"/>
  <c r="K12" i="3"/>
  <c r="K66" i="3"/>
  <c r="G186" i="4"/>
  <c r="G194" i="4" s="1"/>
  <c r="M185" i="4"/>
  <c r="K53" i="3"/>
  <c r="O185" i="4" s="1"/>
  <c r="K54" i="3"/>
  <c r="O186" i="4" s="1"/>
  <c r="M186" i="4"/>
  <c r="J55" i="3"/>
  <c r="N187" i="4" s="1"/>
  <c r="M187" i="4"/>
  <c r="K13" i="3"/>
  <c r="Y23" i="5"/>
  <c r="Z23" i="5" s="1"/>
  <c r="AK23" i="5" s="1"/>
  <c r="AJ19" i="5"/>
  <c r="Y15" i="5"/>
  <c r="D18" i="5" s="1"/>
  <c r="D21" i="5" s="1"/>
  <c r="D33" i="5" s="1"/>
  <c r="F55" i="5" s="1"/>
  <c r="Y13" i="5"/>
  <c r="K53" i="5" s="1"/>
  <c r="K51" i="5"/>
  <c r="N261" i="4" l="1"/>
  <c r="N273" i="4" s="1"/>
  <c r="K25" i="3" a="1"/>
  <c r="K25" i="3" s="1"/>
  <c r="O216" i="4" s="1"/>
  <c r="O261" i="4" s="1"/>
  <c r="H203" i="4"/>
  <c r="G203" i="4"/>
  <c r="M60" i="4"/>
  <c r="M61" i="4" s="1"/>
  <c r="M335" i="4" s="1"/>
  <c r="I202" i="4"/>
  <c r="I203" i="4"/>
  <c r="G202" i="4"/>
  <c r="N67" i="4"/>
  <c r="N336" i="4" s="1"/>
  <c r="N312" i="4"/>
  <c r="O312" i="4"/>
  <c r="O67" i="4"/>
  <c r="O336" i="4" s="1"/>
  <c r="K19" i="3"/>
  <c r="K17" i="3" s="1" a="1"/>
  <c r="K17" i="3" s="1"/>
  <c r="K11" i="3"/>
  <c r="K9" i="3" s="1" a="1"/>
  <c r="K9" i="3" s="1"/>
  <c r="O145" i="4" s="1"/>
  <c r="O337" i="4"/>
  <c r="O69" i="4"/>
  <c r="O372" i="4"/>
  <c r="Z15" i="5"/>
  <c r="H202" i="4"/>
  <c r="AJ23" i="5"/>
  <c r="T17" i="5"/>
  <c r="K55" i="3"/>
  <c r="O187" i="4" s="1"/>
  <c r="M282" i="4"/>
  <c r="M273" i="4"/>
  <c r="T19" i="5"/>
  <c r="T21" i="5"/>
  <c r="AJ17" i="5"/>
  <c r="L67" i="4"/>
  <c r="K67" i="4"/>
  <c r="V17" i="5" l="1"/>
  <c r="L18" i="5"/>
  <c r="L21" i="5" s="1"/>
  <c r="L33" i="5" s="1"/>
  <c r="H18" i="5"/>
  <c r="H21" i="5" s="1"/>
  <c r="H33" i="5" s="1"/>
  <c r="F18" i="5"/>
  <c r="F21" i="5" s="1"/>
  <c r="F33" i="5" s="1"/>
  <c r="N18" i="5"/>
  <c r="N21" i="5" s="1"/>
  <c r="N33" i="5" s="1"/>
  <c r="J18" i="5"/>
  <c r="J21" i="5" s="1"/>
  <c r="J33" i="5" s="1"/>
  <c r="N282" i="4"/>
  <c r="O60" i="4"/>
  <c r="O61" i="4" s="1"/>
  <c r="O335" i="4" s="1"/>
  <c r="AJ25" i="5"/>
  <c r="T15" i="5" s="1"/>
  <c r="O282" i="4"/>
  <c r="O273" i="4"/>
  <c r="T23" i="5"/>
  <c r="T28" i="5" s="1"/>
  <c r="J336" i="4"/>
  <c r="G55" i="5" l="1"/>
  <c r="U56" i="5"/>
  <c r="T26" i="5"/>
  <c r="T31" i="5" s="1"/>
  <c r="K336" i="4"/>
  <c r="L336" i="4"/>
  <c r="L337" i="4"/>
  <c r="K337" i="4"/>
  <c r="K114" i="4"/>
  <c r="L114" i="4" s="1"/>
  <c r="M114" i="4" s="1"/>
  <c r="N114" i="4" s="1"/>
  <c r="O114" i="4" s="1"/>
  <c r="K96" i="4"/>
  <c r="L96" i="4" s="1"/>
  <c r="M96" i="4" s="1"/>
  <c r="N96" i="4" s="1"/>
  <c r="O96" i="4" s="1"/>
  <c r="K103" i="4"/>
  <c r="L103" i="4" s="1"/>
  <c r="M103" i="4" s="1"/>
  <c r="N103" i="4" s="1"/>
  <c r="O103" i="4" s="1"/>
  <c r="D37" i="5" l="1"/>
  <c r="G53" i="5"/>
  <c r="G58" i="5" s="1"/>
  <c r="F53" i="5"/>
  <c r="F58" i="5" s="1"/>
  <c r="K57" i="5" s="1"/>
  <c r="J333" i="4"/>
  <c r="J373" i="4"/>
  <c r="K371" i="4" s="1"/>
  <c r="K77" i="4"/>
  <c r="L69" i="4"/>
  <c r="K69" i="4"/>
  <c r="K105" i="4"/>
  <c r="L105" i="4" s="1"/>
  <c r="M105" i="4" s="1"/>
  <c r="N105" i="4" s="1"/>
  <c r="O105" i="4" s="1"/>
  <c r="L372" i="4"/>
  <c r="K372" i="4"/>
  <c r="D377" i="4"/>
  <c r="J388" i="4"/>
  <c r="K385" i="4" s="1"/>
  <c r="J335" i="4"/>
  <c r="J338" i="4"/>
  <c r="L312" i="4"/>
  <c r="K312" i="4"/>
  <c r="J313" i="4"/>
  <c r="K311" i="4" s="1"/>
  <c r="J303" i="4"/>
  <c r="K301" i="4" s="1"/>
  <c r="D315" i="4"/>
  <c r="D305" i="4"/>
  <c r="I284" i="4"/>
  <c r="J281" i="4" s="1"/>
  <c r="J275" i="4"/>
  <c r="K272" i="4" s="1"/>
  <c r="C265" i="4"/>
  <c r="C264" i="4"/>
  <c r="K313" i="4" l="1"/>
  <c r="K120" i="4" s="1"/>
  <c r="K373" i="4"/>
  <c r="L371" i="4" s="1"/>
  <c r="L373" i="4" s="1"/>
  <c r="K126" i="4" l="1"/>
  <c r="L311" i="4"/>
  <c r="L313" i="4" s="1"/>
  <c r="L120" i="4" s="1"/>
  <c r="L126" i="4"/>
  <c r="M371" i="4"/>
  <c r="M373" i="4" s="1"/>
  <c r="L316" i="4" l="1"/>
  <c r="M311" i="4"/>
  <c r="M313" i="4" s="1"/>
  <c r="N311" i="4" s="1"/>
  <c r="N313" i="4" s="1"/>
  <c r="N371" i="4"/>
  <c r="N373" i="4" s="1"/>
  <c r="M126" i="4"/>
  <c r="D228" i="4"/>
  <c r="D227" i="4"/>
  <c r="D234" i="4" s="1"/>
  <c r="D220" i="4"/>
  <c r="D221" i="4"/>
  <c r="I216" i="4"/>
  <c r="J216" i="4"/>
  <c r="L185" i="4"/>
  <c r="L186" i="4"/>
  <c r="L187" i="4"/>
  <c r="K186" i="4"/>
  <c r="J180" i="4"/>
  <c r="J171" i="4"/>
  <c r="J173" i="4"/>
  <c r="J175" i="4"/>
  <c r="I159" i="4"/>
  <c r="I158" i="4"/>
  <c r="J159" i="4"/>
  <c r="J158" i="4"/>
  <c r="J155" i="4"/>
  <c r="I155" i="4"/>
  <c r="J153" i="4"/>
  <c r="I153" i="4"/>
  <c r="M120" i="4" l="1"/>
  <c r="N316" i="4"/>
  <c r="M316" i="4"/>
  <c r="J160" i="4"/>
  <c r="G248" i="4"/>
  <c r="E234" i="4"/>
  <c r="N120" i="4"/>
  <c r="O311" i="4"/>
  <c r="O313" i="4" s="1"/>
  <c r="O120" i="4" s="1"/>
  <c r="Z13" i="5" s="1"/>
  <c r="O371" i="4"/>
  <c r="O373" i="4" s="1"/>
  <c r="O126" i="4" s="1"/>
  <c r="N126" i="4"/>
  <c r="D238" i="4"/>
  <c r="E238" i="4" s="1"/>
  <c r="D236" i="4"/>
  <c r="I160" i="4"/>
  <c r="D233" i="4"/>
  <c r="E233" i="4" s="1"/>
  <c r="F233" i="4" s="1"/>
  <c r="D239" i="4"/>
  <c r="E239" i="4" s="1"/>
  <c r="D237" i="4"/>
  <c r="E237" i="4" s="1"/>
  <c r="D235" i="4"/>
  <c r="J248" i="4"/>
  <c r="H248" i="4"/>
  <c r="I248" i="4"/>
  <c r="K248" i="4"/>
  <c r="L248" i="4"/>
  <c r="J187" i="4"/>
  <c r="J195" i="4" s="1"/>
  <c r="J203" i="4" s="1"/>
  <c r="J186" i="4"/>
  <c r="J194" i="4" s="1"/>
  <c r="J202" i="4" s="1"/>
  <c r="I53" i="4"/>
  <c r="G142" i="4"/>
  <c r="G179" i="4" s="1"/>
  <c r="G185" i="4" s="1"/>
  <c r="G193" i="4" s="1"/>
  <c r="H142" i="4"/>
  <c r="H179" i="4" s="1"/>
  <c r="H185" i="4" s="1"/>
  <c r="H193" i="4" s="1"/>
  <c r="I142" i="4"/>
  <c r="I179" i="4" s="1"/>
  <c r="I185" i="4" s="1"/>
  <c r="I193" i="4" s="1"/>
  <c r="J142" i="4"/>
  <c r="F142" i="4"/>
  <c r="F179" i="4" s="1"/>
  <c r="F185" i="4" s="1"/>
  <c r="F193" i="4" s="1"/>
  <c r="G128" i="4"/>
  <c r="H128" i="4"/>
  <c r="I128" i="4"/>
  <c r="F128" i="4"/>
  <c r="G118" i="4"/>
  <c r="G122" i="4" s="1"/>
  <c r="H118" i="4"/>
  <c r="H122" i="4" s="1"/>
  <c r="I118" i="4"/>
  <c r="I122" i="4" s="1"/>
  <c r="J118" i="4"/>
  <c r="F118" i="4"/>
  <c r="F122" i="4" s="1"/>
  <c r="G100" i="4"/>
  <c r="G109" i="4" s="1"/>
  <c r="H100" i="4"/>
  <c r="H109" i="4" s="1"/>
  <c r="I100" i="4"/>
  <c r="I109" i="4" s="1"/>
  <c r="J100" i="4"/>
  <c r="J109" i="4" s="1"/>
  <c r="F100" i="4"/>
  <c r="F109" i="4" s="1"/>
  <c r="G79" i="4"/>
  <c r="H79" i="4"/>
  <c r="I79" i="4"/>
  <c r="F79" i="4"/>
  <c r="G71" i="4"/>
  <c r="H71" i="4"/>
  <c r="I71" i="4"/>
  <c r="J71" i="4"/>
  <c r="F71" i="4"/>
  <c r="G51" i="4"/>
  <c r="H51" i="4"/>
  <c r="I51" i="4"/>
  <c r="J51" i="4"/>
  <c r="F51" i="4"/>
  <c r="F12" i="4"/>
  <c r="J12" i="4"/>
  <c r="I12" i="4"/>
  <c r="H12" i="4"/>
  <c r="G12" i="4"/>
  <c r="H201" i="4" l="1"/>
  <c r="H204" i="4" s="1"/>
  <c r="H206" i="4" s="1"/>
  <c r="I201" i="4"/>
  <c r="I204" i="4" s="1"/>
  <c r="I206" i="4" s="1"/>
  <c r="V21" i="5"/>
  <c r="AK17" i="5"/>
  <c r="AK25" i="5" s="1"/>
  <c r="V15" i="5" s="1"/>
  <c r="L53" i="5"/>
  <c r="G201" i="4"/>
  <c r="G204" i="4" s="1"/>
  <c r="G206" i="4" s="1"/>
  <c r="L51" i="5"/>
  <c r="V19" i="5"/>
  <c r="O316" i="4"/>
  <c r="L236" i="4"/>
  <c r="J234" i="4"/>
  <c r="J233" i="4"/>
  <c r="K235" i="4"/>
  <c r="J53" i="4"/>
  <c r="I54" i="4"/>
  <c r="J237" i="4"/>
  <c r="G233" i="4"/>
  <c r="H235" i="4"/>
  <c r="I236" i="4"/>
  <c r="L239" i="4"/>
  <c r="G234" i="4"/>
  <c r="K238" i="4"/>
  <c r="J54" i="4"/>
  <c r="J122" i="4"/>
  <c r="J131" i="4" s="1"/>
  <c r="J133" i="4" s="1"/>
  <c r="F131" i="4"/>
  <c r="F133" i="4" s="1"/>
  <c r="J145" i="4"/>
  <c r="J179" i="4"/>
  <c r="J185" i="4" s="1"/>
  <c r="J193" i="4" s="1"/>
  <c r="J201" i="4" s="1"/>
  <c r="I145" i="4"/>
  <c r="H145" i="4"/>
  <c r="I131" i="4"/>
  <c r="I133" i="4" s="1"/>
  <c r="H131" i="4"/>
  <c r="H133" i="4" s="1"/>
  <c r="G131" i="4"/>
  <c r="G133" i="4" s="1"/>
  <c r="G145" i="4"/>
  <c r="G20" i="4"/>
  <c r="G31" i="4" s="1"/>
  <c r="G36" i="4" s="1"/>
  <c r="H20" i="4"/>
  <c r="H31" i="4" s="1"/>
  <c r="H36" i="4" s="1"/>
  <c r="I20" i="4"/>
  <c r="I31" i="4" s="1"/>
  <c r="I36" i="4" s="1"/>
  <c r="J20" i="4"/>
  <c r="F20" i="4"/>
  <c r="G45" i="4"/>
  <c r="G89" i="4" s="1"/>
  <c r="G140" i="4" s="1"/>
  <c r="H45" i="4"/>
  <c r="H89" i="4" s="1"/>
  <c r="H140" i="4" s="1"/>
  <c r="I45" i="4"/>
  <c r="I89" i="4" s="1"/>
  <c r="I140" i="4" s="1"/>
  <c r="J45" i="4"/>
  <c r="J89" i="4" s="1"/>
  <c r="J140" i="4" s="1"/>
  <c r="K45" i="4"/>
  <c r="K89" i="4" s="1"/>
  <c r="K140" i="4" s="1"/>
  <c r="L45" i="4"/>
  <c r="L89" i="4" s="1"/>
  <c r="L140" i="4" s="1"/>
  <c r="F45" i="4"/>
  <c r="F89" i="4" s="1"/>
  <c r="F140" i="4" s="1"/>
  <c r="J261" i="4"/>
  <c r="J282" i="4" s="1"/>
  <c r="I261" i="4"/>
  <c r="V23" i="5" l="1"/>
  <c r="V26" i="5" s="1"/>
  <c r="G249" i="4"/>
  <c r="G250" i="4" s="1"/>
  <c r="H49" i="4"/>
  <c r="H55" i="4" s="1"/>
  <c r="H376" i="4"/>
  <c r="J204" i="4"/>
  <c r="J52" i="4"/>
  <c r="G49" i="4"/>
  <c r="G55" i="4" s="1"/>
  <c r="G376" i="4"/>
  <c r="J283" i="4"/>
  <c r="J284" i="4" s="1"/>
  <c r="K281" i="4" s="1"/>
  <c r="I49" i="4"/>
  <c r="I366" i="4"/>
  <c r="I376" i="4" s="1"/>
  <c r="J23" i="4"/>
  <c r="J31" i="4"/>
  <c r="Y21" i="5" s="1"/>
  <c r="AJ21" i="5" s="1"/>
  <c r="F170" i="4"/>
  <c r="L170" i="4"/>
  <c r="L213" i="4" s="1"/>
  <c r="I232" i="4" s="1"/>
  <c r="K170" i="4"/>
  <c r="K213" i="4" s="1"/>
  <c r="H232" i="4" s="1"/>
  <c r="J170" i="4"/>
  <c r="J213" i="4" s="1"/>
  <c r="G232" i="4" s="1"/>
  <c r="I170" i="4"/>
  <c r="I213" i="4" s="1"/>
  <c r="H170" i="4"/>
  <c r="G170" i="4"/>
  <c r="F23" i="4"/>
  <c r="F31" i="4"/>
  <c r="F36" i="4" s="1"/>
  <c r="G151" i="4"/>
  <c r="H155" i="4" s="1"/>
  <c r="G149" i="4"/>
  <c r="H153" i="4" s="1"/>
  <c r="V28" i="5" l="1"/>
  <c r="V31" i="5" s="1"/>
  <c r="F232" i="4"/>
  <c r="C233" i="4"/>
  <c r="C234" i="4" s="1"/>
  <c r="C235" i="4" s="1"/>
  <c r="C236" i="4" s="1"/>
  <c r="C237" i="4" s="1"/>
  <c r="C238" i="4" s="1"/>
  <c r="C239" i="4" s="1"/>
  <c r="J36" i="4"/>
  <c r="J49" i="4" s="1"/>
  <c r="J55" i="4" s="1"/>
  <c r="F49" i="4"/>
  <c r="F55" i="4" s="1"/>
  <c r="I52" i="4"/>
  <c r="I55" i="4" s="1"/>
  <c r="I259" i="4"/>
  <c r="I295" i="4" s="1"/>
  <c r="I327" i="4" s="1"/>
  <c r="I364" i="4" s="1"/>
  <c r="J259" i="4"/>
  <c r="J295" i="4" s="1"/>
  <c r="J327" i="4" s="1"/>
  <c r="J364" i="4" s="1"/>
  <c r="K259" i="4"/>
  <c r="K295" i="4" s="1"/>
  <c r="K327" i="4" s="1"/>
  <c r="K364" i="4" s="1"/>
  <c r="L259" i="4"/>
  <c r="L295" i="4" s="1"/>
  <c r="L327" i="4" s="1"/>
  <c r="L364" i="4" s="1"/>
  <c r="F37" i="5" l="1"/>
  <c r="J37" i="5"/>
  <c r="H37" i="5"/>
  <c r="L37" i="5"/>
  <c r="N37" i="5"/>
  <c r="J366" i="4"/>
  <c r="J376" i="4" s="1"/>
  <c r="J334" i="4"/>
  <c r="J339" i="4" s="1"/>
  <c r="K333" i="4" s="1"/>
  <c r="U54" i="5" l="1"/>
  <c r="U58" i="5"/>
  <c r="U60" i="5" s="1"/>
  <c r="U62" i="5" s="1"/>
  <c r="J206" i="4"/>
  <c r="J64" i="3" l="1"/>
  <c r="K64" i="3" s="1"/>
  <c r="H63" i="3" a="1"/>
  <c r="H63" i="3" s="1"/>
  <c r="G63" i="3" a="1"/>
  <c r="G63" i="3" s="1"/>
  <c r="H25" i="3" a="1"/>
  <c r="H25" i="3" s="1"/>
  <c r="L216" i="4" s="1"/>
  <c r="E236" i="4" s="1"/>
  <c r="G25" i="3" a="1"/>
  <c r="G25" i="3" s="1"/>
  <c r="H17" i="3" a="1"/>
  <c r="H17" i="3" s="1"/>
  <c r="G17" i="3" a="1"/>
  <c r="G17" i="3" s="1"/>
  <c r="H9" i="3" a="1"/>
  <c r="H9" i="3" s="1"/>
  <c r="L145" i="4" s="1"/>
  <c r="G9" i="3" a="1"/>
  <c r="G9" i="3" s="1"/>
  <c r="K145" i="4" s="1"/>
  <c r="I233" i="4" l="1"/>
  <c r="J235" i="4"/>
  <c r="L237" i="4"/>
  <c r="K236" i="4"/>
  <c r="I234" i="4"/>
  <c r="K216" i="4"/>
  <c r="K6" i="4"/>
  <c r="K33" i="4" s="1"/>
  <c r="L33" i="4" s="1"/>
  <c r="M33" i="4" s="1"/>
  <c r="N33" i="4" s="1"/>
  <c r="O33" i="4" s="1"/>
  <c r="I63" i="3"/>
  <c r="L6" i="4"/>
  <c r="L261" i="4"/>
  <c r="L60" i="4"/>
  <c r="L61" i="4" s="1"/>
  <c r="L335" i="4" s="1"/>
  <c r="K151" i="4"/>
  <c r="K149" i="4"/>
  <c r="J63" i="3" l="1"/>
  <c r="M6" i="4"/>
  <c r="K261" i="4"/>
  <c r="K282" i="4" s="1"/>
  <c r="E235" i="4"/>
  <c r="K17" i="4"/>
  <c r="L17" i="4" s="1"/>
  <c r="M17" i="4" s="1"/>
  <c r="N17" i="4" s="1"/>
  <c r="O17" i="4" s="1"/>
  <c r="K16" i="4"/>
  <c r="L16" i="4" s="1"/>
  <c r="M16" i="4" s="1"/>
  <c r="N16" i="4" s="1"/>
  <c r="O16" i="4" s="1"/>
  <c r="K15" i="4"/>
  <c r="L15" i="4" s="1"/>
  <c r="M15" i="4" s="1"/>
  <c r="N15" i="4" s="1"/>
  <c r="O15" i="4" s="1"/>
  <c r="K27" i="4"/>
  <c r="L27" i="4" s="1"/>
  <c r="M27" i="4" s="1"/>
  <c r="N27" i="4" s="1"/>
  <c r="O27" i="4" s="1"/>
  <c r="K26" i="4"/>
  <c r="L26" i="4" s="1"/>
  <c r="M26" i="4" s="1"/>
  <c r="N26" i="4" s="1"/>
  <c r="O26" i="4" s="1"/>
  <c r="K28" i="4"/>
  <c r="L28" i="4" s="1"/>
  <c r="M28" i="4" s="1"/>
  <c r="N28" i="4" s="1"/>
  <c r="O28" i="4" s="1"/>
  <c r="K18" i="4"/>
  <c r="L18" i="4" s="1"/>
  <c r="M18" i="4" s="1"/>
  <c r="N18" i="4" s="1"/>
  <c r="O18" i="4" s="1"/>
  <c r="K60" i="4"/>
  <c r="K61" i="4" s="1"/>
  <c r="K335" i="4" s="1"/>
  <c r="K234" i="4"/>
  <c r="K14" i="4"/>
  <c r="L14" i="4" s="1"/>
  <c r="M14" i="4" s="1"/>
  <c r="N14" i="4" s="1"/>
  <c r="O14" i="4" s="1"/>
  <c r="K10" i="4"/>
  <c r="L10" i="4" s="1"/>
  <c r="K32" i="4"/>
  <c r="L234" i="4"/>
  <c r="L233" i="4"/>
  <c r="L273" i="4"/>
  <c r="L282" i="4"/>
  <c r="L235" i="4"/>
  <c r="K158" i="4"/>
  <c r="K153" i="4"/>
  <c r="L149" i="4"/>
  <c r="M149" i="4" s="1"/>
  <c r="K159" i="4"/>
  <c r="L151" i="4"/>
  <c r="M151" i="4" s="1"/>
  <c r="K155" i="4"/>
  <c r="K273" i="4" l="1"/>
  <c r="M10" i="4"/>
  <c r="M180" i="4" s="1"/>
  <c r="K63" i="3"/>
  <c r="O6" i="4" s="1"/>
  <c r="N6" i="4"/>
  <c r="M159" i="4"/>
  <c r="M155" i="4"/>
  <c r="N151" i="4"/>
  <c r="J236" i="4"/>
  <c r="J249" i="4" s="1"/>
  <c r="J250" i="4" s="1"/>
  <c r="H233" i="4"/>
  <c r="I235" i="4"/>
  <c r="I249" i="4" s="1"/>
  <c r="I250" i="4" s="1"/>
  <c r="H234" i="4"/>
  <c r="L238" i="4"/>
  <c r="L249" i="4" s="1"/>
  <c r="L250" i="4" s="1"/>
  <c r="K237" i="4"/>
  <c r="K7" i="4"/>
  <c r="K180" i="4"/>
  <c r="M158" i="4"/>
  <c r="M153" i="4"/>
  <c r="N149" i="4"/>
  <c r="K233" i="4"/>
  <c r="L32" i="4"/>
  <c r="M32" i="4" s="1"/>
  <c r="K283" i="4"/>
  <c r="K284" i="4" s="1"/>
  <c r="L281" i="4" s="1"/>
  <c r="L180" i="4"/>
  <c r="L7" i="4"/>
  <c r="K160" i="4"/>
  <c r="L159" i="4"/>
  <c r="L155" i="4"/>
  <c r="L158" i="4"/>
  <c r="L153" i="4"/>
  <c r="I23" i="4"/>
  <c r="H23" i="4"/>
  <c r="G23" i="4"/>
  <c r="N32" i="4" l="1"/>
  <c r="O32" i="4" s="1"/>
  <c r="Z19" i="5" s="1"/>
  <c r="AK19" i="5" s="1"/>
  <c r="N10" i="4"/>
  <c r="N180" i="4" s="1"/>
  <c r="M160" i="4"/>
  <c r="M9" i="4" s="1"/>
  <c r="M12" i="4" s="1"/>
  <c r="M20" i="4" s="1"/>
  <c r="K195" i="4"/>
  <c r="K203" i="4" s="1"/>
  <c r="K54" i="4" s="1"/>
  <c r="K194" i="4"/>
  <c r="O274" i="4"/>
  <c r="O51" i="4"/>
  <c r="O22" i="4" s="1"/>
  <c r="N158" i="4"/>
  <c r="O149" i="4"/>
  <c r="N153" i="4"/>
  <c r="L274" i="4"/>
  <c r="L51" i="4"/>
  <c r="L22" i="4" s="1"/>
  <c r="M274" i="4"/>
  <c r="M51" i="4"/>
  <c r="M22" i="4" s="1"/>
  <c r="M194" i="4"/>
  <c r="M195" i="4"/>
  <c r="H249" i="4"/>
  <c r="H250" i="4" s="1"/>
  <c r="N159" i="4"/>
  <c r="N155" i="4"/>
  <c r="O151" i="4"/>
  <c r="K249" i="4"/>
  <c r="K250" i="4" s="1"/>
  <c r="L195" i="4"/>
  <c r="L194" i="4"/>
  <c r="L283" i="4"/>
  <c r="L284" i="4" s="1"/>
  <c r="M281" i="4" s="1"/>
  <c r="K142" i="4"/>
  <c r="K179" i="4" s="1"/>
  <c r="K193" i="4" s="1"/>
  <c r="K201" i="4" s="1"/>
  <c r="K52" i="4" s="1"/>
  <c r="K9" i="4"/>
  <c r="L160" i="4"/>
  <c r="M203" i="4" l="1"/>
  <c r="M54" i="4" s="1"/>
  <c r="O10" i="4"/>
  <c r="O180" i="4" s="1"/>
  <c r="O194" i="4" s="1"/>
  <c r="M142" i="4"/>
  <c r="M179" i="4" s="1"/>
  <c r="M193" i="4" s="1"/>
  <c r="K175" i="4"/>
  <c r="K113" i="4" s="1"/>
  <c r="K118" i="4" s="1"/>
  <c r="L203" i="4"/>
  <c r="L54" i="4" s="1"/>
  <c r="M202" i="4"/>
  <c r="M53" i="4" s="1"/>
  <c r="K202" i="4"/>
  <c r="K53" i="4" s="1"/>
  <c r="L202" i="4"/>
  <c r="L53" i="4" s="1"/>
  <c r="M175" i="4"/>
  <c r="M113" i="4" s="1"/>
  <c r="M118" i="4" s="1"/>
  <c r="M122" i="4" s="1"/>
  <c r="K173" i="4"/>
  <c r="K95" i="4" s="1"/>
  <c r="M31" i="4"/>
  <c r="M36" i="4" s="1"/>
  <c r="M23" i="4"/>
  <c r="K274" i="4"/>
  <c r="K275" i="4" s="1"/>
  <c r="L272" i="4" s="1"/>
  <c r="L275" i="4" s="1"/>
  <c r="K51" i="4"/>
  <c r="K22" i="4" s="1"/>
  <c r="O158" i="4"/>
  <c r="O153" i="4"/>
  <c r="M173" i="4"/>
  <c r="M95" i="4" s="1"/>
  <c r="M283" i="4"/>
  <c r="M284" i="4" s="1"/>
  <c r="N281" i="4" s="1"/>
  <c r="N194" i="4"/>
  <c r="N202" i="4" s="1"/>
  <c r="N53" i="4" s="1"/>
  <c r="N195" i="4"/>
  <c r="N203" i="4" s="1"/>
  <c r="N54" i="4" s="1"/>
  <c r="N274" i="4"/>
  <c r="N51" i="4"/>
  <c r="N22" i="4" s="1"/>
  <c r="N160" i="4"/>
  <c r="O159" i="4"/>
  <c r="O155" i="4"/>
  <c r="K12" i="4"/>
  <c r="K20" i="4" s="1"/>
  <c r="L175" i="4"/>
  <c r="L113" i="4" s="1"/>
  <c r="L118" i="4" s="1"/>
  <c r="L122" i="4" s="1"/>
  <c r="L173" i="4"/>
  <c r="L95" i="4" s="1"/>
  <c r="L142" i="4"/>
  <c r="L179" i="4" s="1"/>
  <c r="L9" i="4"/>
  <c r="L12" i="4" s="1"/>
  <c r="L20" i="4" s="1"/>
  <c r="M171" i="4" l="1"/>
  <c r="M94" i="4" s="1"/>
  <c r="O195" i="4"/>
  <c r="O175" i="4" s="1"/>
  <c r="O113" i="4" s="1"/>
  <c r="O118" i="4" s="1"/>
  <c r="O122" i="4" s="1"/>
  <c r="O160" i="4"/>
  <c r="O9" i="4" s="1"/>
  <c r="O202" i="4"/>
  <c r="O53" i="4" s="1"/>
  <c r="K102" i="4"/>
  <c r="N283" i="4"/>
  <c r="N284" i="4" s="1"/>
  <c r="O281" i="4" s="1"/>
  <c r="N9" i="4"/>
  <c r="N12" i="4" s="1"/>
  <c r="N20" i="4" s="1"/>
  <c r="N142" i="4"/>
  <c r="N179" i="4" s="1"/>
  <c r="N193" i="4" s="1"/>
  <c r="N201" i="4" s="1"/>
  <c r="N52" i="4" s="1"/>
  <c r="O173" i="4"/>
  <c r="O95" i="4" s="1"/>
  <c r="N175" i="4"/>
  <c r="N113" i="4" s="1"/>
  <c r="N118" i="4" s="1"/>
  <c r="N122" i="4" s="1"/>
  <c r="M49" i="4"/>
  <c r="M366" i="4"/>
  <c r="N173" i="4"/>
  <c r="N95" i="4" s="1"/>
  <c r="L102" i="4"/>
  <c r="M272" i="4"/>
  <c r="M275" i="4" s="1"/>
  <c r="K31" i="4"/>
  <c r="K36" i="4" s="1"/>
  <c r="K23" i="4"/>
  <c r="L23" i="4"/>
  <c r="L31" i="4"/>
  <c r="L36" i="4" s="1"/>
  <c r="L193" i="4"/>
  <c r="L201" i="4" s="1"/>
  <c r="L52" i="4" s="1"/>
  <c r="K204" i="4"/>
  <c r="K206" i="4" s="1"/>
  <c r="K171" i="4"/>
  <c r="K94" i="4" s="1"/>
  <c r="M201" i="4" l="1"/>
  <c r="M52" i="4" s="1"/>
  <c r="O203" i="4"/>
  <c r="O54" i="4" s="1"/>
  <c r="O142" i="4"/>
  <c r="O179" i="4" s="1"/>
  <c r="O193" i="4" s="1"/>
  <c r="O201" i="4" s="1"/>
  <c r="O52" i="4" s="1"/>
  <c r="O12" i="4"/>
  <c r="O20" i="4" s="1"/>
  <c r="O283" i="4"/>
  <c r="O284" i="4" s="1"/>
  <c r="M376" i="4"/>
  <c r="M378" i="4" s="1"/>
  <c r="M386" i="4"/>
  <c r="N171" i="4"/>
  <c r="N94" i="4" s="1"/>
  <c r="N31" i="4"/>
  <c r="N36" i="4" s="1"/>
  <c r="N23" i="4"/>
  <c r="M102" i="4"/>
  <c r="N272" i="4"/>
  <c r="N275" i="4" s="1"/>
  <c r="K49" i="4"/>
  <c r="K55" i="4" s="1"/>
  <c r="K366" i="4"/>
  <c r="K386" i="4" s="1"/>
  <c r="L171" i="4"/>
  <c r="L94" i="4" s="1"/>
  <c r="L49" i="4"/>
  <c r="L366" i="4"/>
  <c r="O171" i="4" l="1"/>
  <c r="O94" i="4" s="1"/>
  <c r="O23" i="4"/>
  <c r="O31" i="4"/>
  <c r="O36" i="4" s="1"/>
  <c r="O49" i="4" s="1"/>
  <c r="K376" i="4"/>
  <c r="K378" i="4" s="1"/>
  <c r="K387" i="4" s="1"/>
  <c r="K388" i="4" s="1"/>
  <c r="K127" i="4" s="1"/>
  <c r="K128" i="4" s="1"/>
  <c r="M55" i="4"/>
  <c r="M204" i="4"/>
  <c r="M206" i="4" s="1"/>
  <c r="N49" i="4"/>
  <c r="N366" i="4"/>
  <c r="L204" i="4"/>
  <c r="L206" i="4" s="1"/>
  <c r="M387" i="4"/>
  <c r="M70" i="4"/>
  <c r="N204" i="4"/>
  <c r="N206" i="4" s="1"/>
  <c r="N102" i="4"/>
  <c r="O272" i="4"/>
  <c r="O275" i="4" s="1"/>
  <c r="O102" i="4" s="1"/>
  <c r="K334" i="4"/>
  <c r="L55" i="4"/>
  <c r="L376" i="4"/>
  <c r="L378" i="4" s="1"/>
  <c r="L387" i="4" s="1"/>
  <c r="L386" i="4"/>
  <c r="L334" i="4" l="1"/>
  <c r="O204" i="4"/>
  <c r="Z21" i="5"/>
  <c r="AK21" i="5" s="1"/>
  <c r="O366" i="4"/>
  <c r="O386" i="4" s="1"/>
  <c r="K70" i="4"/>
  <c r="K71" i="4" s="1"/>
  <c r="K78" i="4" s="1"/>
  <c r="M338" i="4"/>
  <c r="M71" i="4"/>
  <c r="M78" i="4" s="1"/>
  <c r="O55" i="4"/>
  <c r="N386" i="4"/>
  <c r="N376" i="4"/>
  <c r="N378" i="4" s="1"/>
  <c r="N55" i="4"/>
  <c r="M334" i="4"/>
  <c r="L385" i="4"/>
  <c r="L70" i="4"/>
  <c r="L338" i="4" s="1"/>
  <c r="M302" i="4" l="1"/>
  <c r="O206" i="4"/>
  <c r="K338" i="4"/>
  <c r="K339" i="4" s="1"/>
  <c r="L333" i="4" s="1"/>
  <c r="L339" i="4" s="1"/>
  <c r="M333" i="4" s="1"/>
  <c r="M339" i="4" s="1"/>
  <c r="N333" i="4" s="1"/>
  <c r="O376" i="4"/>
  <c r="O378" i="4" s="1"/>
  <c r="O387" i="4" s="1"/>
  <c r="N387" i="4"/>
  <c r="N70" i="4"/>
  <c r="N334" i="4"/>
  <c r="O334" i="4"/>
  <c r="L71" i="4"/>
  <c r="K302" i="4"/>
  <c r="K303" i="4" s="1"/>
  <c r="K79" i="4"/>
  <c r="K93" i="4" s="1"/>
  <c r="K100" i="4" s="1"/>
  <c r="L388" i="4"/>
  <c r="L78" i="4" l="1"/>
  <c r="L302" i="4" s="1"/>
  <c r="O70" i="4"/>
  <c r="O338" i="4" s="1"/>
  <c r="L127" i="4"/>
  <c r="M385" i="4"/>
  <c r="M388" i="4" s="1"/>
  <c r="N338" i="4"/>
  <c r="N339" i="4" s="1"/>
  <c r="O333" i="4" s="1"/>
  <c r="N71" i="4"/>
  <c r="L77" i="4"/>
  <c r="L301" i="4"/>
  <c r="K306" i="4"/>
  <c r="K109" i="4"/>
  <c r="L79" i="4" l="1"/>
  <c r="M77" i="4" s="1"/>
  <c r="M79" i="4" s="1"/>
  <c r="N77" i="4" s="1"/>
  <c r="L303" i="4"/>
  <c r="L306" i="4" s="1"/>
  <c r="N78" i="4"/>
  <c r="N302" i="4" s="1"/>
  <c r="O71" i="4"/>
  <c r="O339" i="4"/>
  <c r="L128" i="4"/>
  <c r="L131" i="4" s="1"/>
  <c r="M127" i="4"/>
  <c r="N385" i="4"/>
  <c r="N388" i="4" s="1"/>
  <c r="N79" i="4" l="1"/>
  <c r="N93" i="4" s="1"/>
  <c r="N100" i="4" s="1"/>
  <c r="N109" i="4" s="1"/>
  <c r="L93" i="4"/>
  <c r="L100" i="4" s="1"/>
  <c r="L109" i="4" s="1"/>
  <c r="L133" i="4" s="1"/>
  <c r="M93" i="4"/>
  <c r="M100" i="4" s="1"/>
  <c r="M109" i="4" s="1"/>
  <c r="M301" i="4"/>
  <c r="M303" i="4" s="1"/>
  <c r="N301" i="4" s="1"/>
  <c r="N303" i="4" s="1"/>
  <c r="O78" i="4"/>
  <c r="O302" i="4" s="1"/>
  <c r="M128" i="4"/>
  <c r="M131" i="4" s="1"/>
  <c r="O385" i="4"/>
  <c r="O388" i="4" s="1"/>
  <c r="O127" i="4" s="1"/>
  <c r="N127" i="4"/>
  <c r="O77" i="4" l="1"/>
  <c r="O79" i="4" s="1"/>
  <c r="O93" i="4" s="1"/>
  <c r="O100" i="4" s="1"/>
  <c r="O109" i="4" s="1"/>
  <c r="M306" i="4"/>
  <c r="M133" i="4"/>
  <c r="N128" i="4"/>
  <c r="N131" i="4" s="1"/>
  <c r="N133" i="4" s="1"/>
  <c r="O128" i="4"/>
  <c r="O131" i="4" s="1"/>
  <c r="O301" i="4"/>
  <c r="O303" i="4" s="1"/>
  <c r="O306" i="4" s="1"/>
  <c r="N306" i="4"/>
  <c r="Z25" i="5" l="1"/>
  <c r="L55" i="5" s="1"/>
  <c r="L57" i="5" s="1"/>
  <c r="O133" i="4"/>
  <c r="K122" i="4" l="1"/>
  <c r="K131" i="4" s="1"/>
  <c r="K133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<sst xmlns="http://schemas.openxmlformats.org/spreadsheetml/2006/main" count="348" uniqueCount="253">
  <si>
    <t>Amazon</t>
  </si>
  <si>
    <t>Table of Content</t>
  </si>
  <si>
    <t>Inputs</t>
  </si>
  <si>
    <t>What this model has?</t>
  </si>
  <si>
    <t>Revenue</t>
  </si>
  <si>
    <t>DRIVERS</t>
  </si>
  <si>
    <t>DRIVER SWITCH</t>
  </si>
  <si>
    <t>CASES</t>
  </si>
  <si>
    <t>SALES GROWTH</t>
  </si>
  <si>
    <t>BEST CASE</t>
  </si>
  <si>
    <t>BASE CASE</t>
  </si>
  <si>
    <t>WORST CASE</t>
  </si>
  <si>
    <t>OFF</t>
  </si>
  <si>
    <t>PRICING INCREASE</t>
  </si>
  <si>
    <t>CAPITAL EXPENDITURE</t>
  </si>
  <si>
    <t>Working capital</t>
  </si>
  <si>
    <t xml:space="preserve">Account Recievable </t>
  </si>
  <si>
    <t>(Days)</t>
  </si>
  <si>
    <t>Inventories</t>
  </si>
  <si>
    <t>Accounts Payable</t>
  </si>
  <si>
    <t>Other Annual Inputs</t>
  </si>
  <si>
    <t>Common Equity</t>
  </si>
  <si>
    <t>(Assume)</t>
  </si>
  <si>
    <t>Term Debts</t>
  </si>
  <si>
    <t>Depreciation</t>
  </si>
  <si>
    <t>First year accounting depreciation</t>
  </si>
  <si>
    <t xml:space="preserve">Useful life (Existing assets) </t>
  </si>
  <si>
    <t>Years</t>
  </si>
  <si>
    <t xml:space="preserve">Useful life (New assets) </t>
  </si>
  <si>
    <t>Taxes</t>
  </si>
  <si>
    <t>Tax Rate</t>
  </si>
  <si>
    <t>First Year Depreciation</t>
  </si>
  <si>
    <t>Blended Taxes</t>
  </si>
  <si>
    <t>Interest Rates</t>
  </si>
  <si>
    <t>Cash</t>
  </si>
  <si>
    <t>Credit line</t>
  </si>
  <si>
    <t>Long term Debt</t>
  </si>
  <si>
    <t>Pay out Ratio</t>
  </si>
  <si>
    <t>INCOME STATEMENT</t>
  </si>
  <si>
    <t>Inflation</t>
  </si>
  <si>
    <t>%Change in COGS</t>
  </si>
  <si>
    <t>REVENUE</t>
  </si>
  <si>
    <t>COGS</t>
  </si>
  <si>
    <t>GROSS PROFIT</t>
  </si>
  <si>
    <t>ADMIN/SG&amp;A</t>
  </si>
  <si>
    <t>EBITDA</t>
  </si>
  <si>
    <t>DEPRECIATION &amp; AMORTIZATION</t>
  </si>
  <si>
    <t>EBIT</t>
  </si>
  <si>
    <t>FINANCE INCOME</t>
  </si>
  <si>
    <t>FINANCE COSTS</t>
  </si>
  <si>
    <t>SHAREOF JVS AND ASSOCIATES</t>
  </si>
  <si>
    <t>EBT</t>
  </si>
  <si>
    <t>INCOME TAX EXPENSE</t>
  </si>
  <si>
    <t>NET PROFIT</t>
  </si>
  <si>
    <t>CASHFLOW STATEMENT</t>
  </si>
  <si>
    <t>CASH FROM OPERATING</t>
  </si>
  <si>
    <t>NET INCOME</t>
  </si>
  <si>
    <t>TAX PAID</t>
  </si>
  <si>
    <t>DEPRECIATION</t>
  </si>
  <si>
    <t>CASH FROM AR</t>
  </si>
  <si>
    <t>CASH FROM INVENTORY</t>
  </si>
  <si>
    <t>CASH FROM PAYABLES</t>
  </si>
  <si>
    <t>SUB TOTAL</t>
  </si>
  <si>
    <t>CASH FROM INVESTING</t>
  </si>
  <si>
    <t>SUBTOTAL</t>
  </si>
  <si>
    <t>CASH FROM FINANCING</t>
  </si>
  <si>
    <t>CHANGE IN LONG TERM DEBT</t>
  </si>
  <si>
    <t>CHANGE IN COMMON EQUITY</t>
  </si>
  <si>
    <t>DIVIDENDS</t>
  </si>
  <si>
    <t>CASH BALANCE</t>
  </si>
  <si>
    <t>BEGINNING YEAR</t>
  </si>
  <si>
    <t>INCREASE</t>
  </si>
  <si>
    <t>END OF YEAR</t>
  </si>
  <si>
    <t>BALANCE SHEET</t>
  </si>
  <si>
    <t>ASSETS</t>
  </si>
  <si>
    <t>CURRENT</t>
  </si>
  <si>
    <t xml:space="preserve">CASH </t>
  </si>
  <si>
    <t>ACCOUNTS RECIEVABLE</t>
  </si>
  <si>
    <t>INVENTORIES</t>
  </si>
  <si>
    <t>OTHER CURRENT ASSETS</t>
  </si>
  <si>
    <t xml:space="preserve"> </t>
  </si>
  <si>
    <t>TOTAL ASSETS</t>
  </si>
  <si>
    <t>NONCURRENT</t>
  </si>
  <si>
    <t>NET PP&amp;E</t>
  </si>
  <si>
    <t>NON Current Assets</t>
  </si>
  <si>
    <t>Investments</t>
  </si>
  <si>
    <t>Others</t>
  </si>
  <si>
    <t>LIABILITIES</t>
  </si>
  <si>
    <t xml:space="preserve">  </t>
  </si>
  <si>
    <t xml:space="preserve">CURRENT </t>
  </si>
  <si>
    <t>ACCOUNTS PAYABLE</t>
  </si>
  <si>
    <t>TOTAL CURRENT LIABILITIES</t>
  </si>
  <si>
    <t>NON CURRENT LIABILITIES</t>
  </si>
  <si>
    <t>LONG TERM DEBT</t>
  </si>
  <si>
    <t>Other Non-Current Liabilities</t>
  </si>
  <si>
    <t>TOTAL LIABILITIES</t>
  </si>
  <si>
    <t>EQUITY</t>
  </si>
  <si>
    <t>COMMON EQUITY</t>
  </si>
  <si>
    <t>RETAINED EARNINGS</t>
  </si>
  <si>
    <t>TOTAL SHAREHOLDERS EQUITY</t>
  </si>
  <si>
    <t>%Change in equity</t>
  </si>
  <si>
    <t>TOTAL LIABILITIES AND EQUITY</t>
  </si>
  <si>
    <t>SIGNALS</t>
  </si>
  <si>
    <t>REVENUE SCHEDULE</t>
  </si>
  <si>
    <t xml:space="preserve">OPERATIONS </t>
  </si>
  <si>
    <t>DAYS IN PERIOD</t>
  </si>
  <si>
    <t>INFLATION RATE</t>
  </si>
  <si>
    <t>WORKING CAPITAL SCHEDULE</t>
  </si>
  <si>
    <t xml:space="preserve">AMOUNTS PER DAY </t>
  </si>
  <si>
    <t xml:space="preserve">ACCOUNTS RECIEVABLE </t>
  </si>
  <si>
    <t>DAYS</t>
  </si>
  <si>
    <t>INVENTORY</t>
  </si>
  <si>
    <t>TOTAL AMOUNTS</t>
  </si>
  <si>
    <t>CASH FROM WORKING CAPITAL</t>
  </si>
  <si>
    <t>Working capital Indicator</t>
  </si>
  <si>
    <t>DEPRECIATION SCHEDULE</t>
  </si>
  <si>
    <t>Percent of full year</t>
  </si>
  <si>
    <t>EXISTING ASSETS</t>
  </si>
  <si>
    <t>Yr 1</t>
  </si>
  <si>
    <t>Yr2</t>
  </si>
  <si>
    <t>Yr3</t>
  </si>
  <si>
    <t>Yr4</t>
  </si>
  <si>
    <t>Yr5</t>
  </si>
  <si>
    <t>Yr6</t>
  </si>
  <si>
    <t>USEFUL LIFE (years)</t>
  </si>
  <si>
    <t>PP&amp;E (End year)</t>
  </si>
  <si>
    <t>NEW ASSETS</t>
  </si>
  <si>
    <t>FIRST YEAR AMOUNT</t>
  </si>
  <si>
    <t>YEARS</t>
  </si>
  <si>
    <t>LIFE</t>
  </si>
  <si>
    <t>Capex per yr</t>
  </si>
  <si>
    <t>Total Asset Depreciation</t>
  </si>
  <si>
    <t>Existing Assets</t>
  </si>
  <si>
    <t>New Assets</t>
  </si>
  <si>
    <t>Total Depreciation</t>
  </si>
  <si>
    <t>Asset Schedule</t>
  </si>
  <si>
    <t>Capital Expenditure</t>
  </si>
  <si>
    <t>First year Depreciation</t>
  </si>
  <si>
    <t>Blended Tax Depreciation</t>
  </si>
  <si>
    <t>PP&amp;E</t>
  </si>
  <si>
    <t>Beginning</t>
  </si>
  <si>
    <t>Accounting Depreciation</t>
  </si>
  <si>
    <t>Ending</t>
  </si>
  <si>
    <t>Tax Depreciation</t>
  </si>
  <si>
    <t>Debt Schedule 1</t>
  </si>
  <si>
    <t>Beginning Balance</t>
  </si>
  <si>
    <t>Increase/decrease</t>
  </si>
  <si>
    <t>Ending Balance</t>
  </si>
  <si>
    <t>Interest rate</t>
  </si>
  <si>
    <t>Interest Income</t>
  </si>
  <si>
    <t>Debt Schedule 2</t>
  </si>
  <si>
    <t>Available Cash</t>
  </si>
  <si>
    <t>Cash from Operations</t>
  </si>
  <si>
    <t>Cash from Investing</t>
  </si>
  <si>
    <t>Change in long term debt</t>
  </si>
  <si>
    <t>-</t>
  </si>
  <si>
    <t>Change in common equity</t>
  </si>
  <si>
    <t>Dividends</t>
  </si>
  <si>
    <t>Revolving line of Credit</t>
  </si>
  <si>
    <t>Equity Schedule</t>
  </si>
  <si>
    <t>Net Income</t>
  </si>
  <si>
    <t>Payout ratio</t>
  </si>
  <si>
    <t>Retained Earnings</t>
  </si>
  <si>
    <t>FULFILMENT</t>
  </si>
  <si>
    <t>TECHNOLOGY</t>
  </si>
  <si>
    <t>SALES AND MARKETING</t>
  </si>
  <si>
    <t>OTHER OPERATING EXPENSE</t>
  </si>
  <si>
    <t>EQUITY INVESTMENT ACTIVITY</t>
  </si>
  <si>
    <t>OTHER CURRENT LIABILITIES</t>
  </si>
  <si>
    <t>2026F</t>
  </si>
  <si>
    <t>2027F</t>
  </si>
  <si>
    <t>REVENUE GROWTH</t>
  </si>
  <si>
    <t>PRODUCT SALES</t>
  </si>
  <si>
    <t>SERVICE SALES</t>
  </si>
  <si>
    <t>PRODUCT SALES GROWTH</t>
  </si>
  <si>
    <t>SERVICE SALES GROWTH</t>
  </si>
  <si>
    <t>TOTAL REVENUE</t>
  </si>
  <si>
    <t>AR</t>
  </si>
  <si>
    <t>AP</t>
  </si>
  <si>
    <t>Net Working Capital</t>
  </si>
  <si>
    <t>Output</t>
  </si>
  <si>
    <t>DCF Evaluation</t>
  </si>
  <si>
    <t>Model</t>
  </si>
  <si>
    <t>Net Cash Account Recievables</t>
  </si>
  <si>
    <t>Net Cash Inventory</t>
  </si>
  <si>
    <t>Net Cash Accounts Payables</t>
  </si>
  <si>
    <t xml:space="preserve">DCF Evaluation </t>
  </si>
  <si>
    <t>FCFF</t>
  </si>
  <si>
    <t>WACC</t>
  </si>
  <si>
    <t>NOPAT</t>
  </si>
  <si>
    <t>D&amp;A</t>
  </si>
  <si>
    <t>CAPEX</t>
  </si>
  <si>
    <t>CHANGE IN WC</t>
  </si>
  <si>
    <t>TAX Rate</t>
  </si>
  <si>
    <t>All the values are in Millions</t>
  </si>
  <si>
    <t>VARIABLE NAME</t>
  </si>
  <si>
    <t>RETURN ON EQUITY</t>
  </si>
  <si>
    <t>RETURN ON DEBT</t>
  </si>
  <si>
    <t>TAX RATE</t>
  </si>
  <si>
    <t>VALUE OF EQUITY</t>
  </si>
  <si>
    <t>VALUE OF DEBT</t>
  </si>
  <si>
    <t>VALUE OF DEBT+ EQUITY</t>
  </si>
  <si>
    <t>EQUITY % VALUE</t>
  </si>
  <si>
    <t>DEBT % VALUE</t>
  </si>
  <si>
    <t>ABREVATION</t>
  </si>
  <si>
    <t>RE</t>
  </si>
  <si>
    <t>RD</t>
  </si>
  <si>
    <t>T</t>
  </si>
  <si>
    <t>E</t>
  </si>
  <si>
    <t>D</t>
  </si>
  <si>
    <t>V</t>
  </si>
  <si>
    <t>EV</t>
  </si>
  <si>
    <t>DV</t>
  </si>
  <si>
    <t>Equity</t>
  </si>
  <si>
    <t>Debt</t>
  </si>
  <si>
    <t>Calculations for Wacc</t>
  </si>
  <si>
    <t>Return on Equity</t>
  </si>
  <si>
    <t>Return on Debt</t>
  </si>
  <si>
    <t>Cost of Equity</t>
  </si>
  <si>
    <t>Cost of Debt</t>
  </si>
  <si>
    <t>Interest Expense</t>
  </si>
  <si>
    <t>Total Debt</t>
  </si>
  <si>
    <t>Income Tax Expense</t>
  </si>
  <si>
    <t>Effective Tax Rate</t>
  </si>
  <si>
    <t>Cost of debt after tax</t>
  </si>
  <si>
    <t>Risk Free Rate</t>
  </si>
  <si>
    <t>Beta</t>
  </si>
  <si>
    <t>Equity Risk Premium</t>
  </si>
  <si>
    <t>DCF EVALUATION OF AMAZON</t>
  </si>
  <si>
    <t>ENTERPRISE VALUE</t>
  </si>
  <si>
    <t>DEBT</t>
  </si>
  <si>
    <t>CASH</t>
  </si>
  <si>
    <t>TERMINAL VALUE</t>
  </si>
  <si>
    <t>TERMINAL GROWTH</t>
  </si>
  <si>
    <t>TERMINAL GROWTH RATE</t>
  </si>
  <si>
    <t>2028F</t>
  </si>
  <si>
    <t>2029F</t>
  </si>
  <si>
    <t>2030F</t>
  </si>
  <si>
    <t>Present FCFF</t>
  </si>
  <si>
    <t>DISCOUNT PERIOD</t>
  </si>
  <si>
    <t>Discounted Period</t>
  </si>
  <si>
    <t>VALUATION SUMMARY</t>
  </si>
  <si>
    <t>PV OF FORCAST FCFF</t>
  </si>
  <si>
    <t>TERMINAL VALUE END OF 2030</t>
  </si>
  <si>
    <t>PV TERMINAL VALUE</t>
  </si>
  <si>
    <t>ALL THE VALUES ARE IN MILLIONS</t>
  </si>
  <si>
    <t>All the values are in MILLIONS</t>
  </si>
  <si>
    <t>2030 FCFF (undiscounted)</t>
  </si>
  <si>
    <t>Notes :-</t>
  </si>
  <si>
    <t xml:space="preserve">B. Forcast FCFF- are only for 5 years </t>
  </si>
  <si>
    <t xml:space="preserve">C. There are several model checks </t>
  </si>
  <si>
    <t xml:space="preserve">D. There are certain model limitations </t>
  </si>
  <si>
    <t>A. This model works on certain key Assumptions and Scenarios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</si>
</sst>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#,##0;\(#,##0\)"/>
    <numFmt numFmtId="166" formatCode="0&quot;A&quot;"/>
    <numFmt numFmtId="167" formatCode="0&quot;F&quot;"/>
    <numFmt numFmtId="168" formatCode="#,##0_);\(#,##0\);\-"/>
    <numFmt numFmtId="169" formatCode="#,##0;\(#####0\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1"/>
      <color theme="8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sz val="36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1"/>
      <name val="Arial"/>
      <family val="2"/>
    </font>
    <font>
      <b/>
      <sz val="11"/>
      <color theme="8"/>
      <name val="Arial"/>
      <family val="2"/>
    </font>
    <font>
      <sz val="1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Calibri"/>
      <family val="2"/>
      <scheme val="minor"/>
    </font>
    <font>
      <sz val="11"/>
      <color theme="8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0"/>
      <name val="Open Sans"/>
      <family val="2"/>
    </font>
    <font>
      <b/>
      <sz val="10"/>
      <color theme="0"/>
      <name val="Open Sans"/>
      <family val="2"/>
    </font>
    <font>
      <sz val="10"/>
      <name val="Open Sans"/>
      <family val="2"/>
    </font>
    <font>
      <sz val="10"/>
      <color rgb="FF000000"/>
      <name val="Open Sans"/>
      <family val="2"/>
    </font>
    <font>
      <sz val="11"/>
      <color theme="4"/>
      <name val="Calibri"/>
      <family val="2"/>
      <scheme val="minor"/>
    </font>
    <font>
      <b/>
      <i/>
      <sz val="36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28"/>
      <color theme="8"/>
      <name val="Calibri"/>
      <family val="2"/>
      <scheme val="minor"/>
    </font>
    <font>
      <b/>
      <sz val="48"/>
      <color theme="0"/>
      <name val="Calibri"/>
      <family val="2"/>
      <scheme val="minor"/>
    </font>
    <font>
      <b/>
      <i/>
      <u/>
      <sz val="24"/>
      <color theme="8"/>
      <name val="Calibri"/>
      <family val="2"/>
      <scheme val="minor"/>
    </font>
    <font>
      <b/>
      <sz val="24"/>
      <color theme="8"/>
      <name val="Calibri"/>
      <family val="2"/>
      <scheme val="minor"/>
    </font>
    <font>
      <b/>
      <sz val="22"/>
      <color theme="8"/>
      <name val="Calibri"/>
      <family val="2"/>
      <scheme val="minor"/>
    </font>
    <font>
      <b/>
      <u/>
      <sz val="12"/>
      <color theme="0"/>
      <name val="Calibri"/>
      <family val="2"/>
      <scheme val="minor"/>
    </font>
    <font>
      <sz val="28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0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6"/>
      <color theme="0"/>
      <name val="Calibri"/>
      <family val="2"/>
      <scheme val="minor"/>
    </font>
    <font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76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6" fillId="0" borderId="0" xfId="0" applyFont="1" applyBorder="1" applyAlignment="1"/>
    <xf numFmtId="0" fontId="0" fillId="0" borderId="0" xfId="0" applyBorder="1" applyAlignment="1"/>
    <xf numFmtId="0" fontId="0" fillId="0" borderId="5" xfId="0" applyBorder="1" applyAlignment="1"/>
    <xf numFmtId="0" fontId="3" fillId="0" borderId="0" xfId="0" applyFont="1"/>
    <xf numFmtId="164" fontId="6" fillId="0" borderId="0" xfId="0" applyNumberFormat="1" applyFont="1"/>
    <xf numFmtId="9" fontId="6" fillId="0" borderId="0" xfId="0" applyNumberFormat="1" applyFont="1"/>
    <xf numFmtId="9" fontId="3" fillId="3" borderId="0" xfId="1" applyFont="1" applyFill="1"/>
    <xf numFmtId="164" fontId="6" fillId="0" borderId="0" xfId="1" applyNumberFormat="1" applyFont="1"/>
    <xf numFmtId="9" fontId="6" fillId="0" borderId="0" xfId="1" applyFont="1"/>
    <xf numFmtId="0" fontId="3" fillId="4" borderId="0" xfId="0" applyFont="1" applyFill="1"/>
    <xf numFmtId="0" fontId="3" fillId="3" borderId="0" xfId="0" applyFont="1" applyFill="1"/>
    <xf numFmtId="0" fontId="6" fillId="0" borderId="0" xfId="0" applyFont="1"/>
    <xf numFmtId="1" fontId="6" fillId="0" borderId="0" xfId="0" applyNumberFormat="1" applyFont="1"/>
    <xf numFmtId="0" fontId="9" fillId="2" borderId="0" xfId="0" applyFont="1" applyFill="1" applyAlignment="1">
      <alignment horizontal="left"/>
    </xf>
    <xf numFmtId="164" fontId="3" fillId="4" borderId="0" xfId="1" applyNumberFormat="1" applyFont="1" applyFill="1"/>
    <xf numFmtId="164" fontId="2" fillId="0" borderId="0" xfId="1" applyNumberFormat="1" applyFont="1"/>
    <xf numFmtId="165" fontId="6" fillId="0" borderId="0" xfId="0" applyNumberFormat="1" applyFont="1"/>
    <xf numFmtId="1" fontId="3" fillId="0" borderId="0" xfId="0" applyNumberFormat="1" applyFont="1"/>
    <xf numFmtId="9" fontId="0" fillId="0" borderId="0" xfId="1" applyFont="1"/>
    <xf numFmtId="0" fontId="2" fillId="2" borderId="0" xfId="0" applyFont="1" applyFill="1" applyAlignment="1">
      <alignment horizontal="center" vertical="center"/>
    </xf>
    <xf numFmtId="0" fontId="2" fillId="0" borderId="0" xfId="0" applyFont="1"/>
    <xf numFmtId="0" fontId="11" fillId="0" borderId="0" xfId="0" applyFont="1"/>
    <xf numFmtId="9" fontId="11" fillId="0" borderId="0" xfId="1" applyFont="1"/>
    <xf numFmtId="165" fontId="0" fillId="0" borderId="0" xfId="0" applyNumberFormat="1"/>
    <xf numFmtId="10" fontId="3" fillId="0" borderId="10" xfId="0" applyNumberFormat="1" applyFont="1" applyBorder="1"/>
    <xf numFmtId="0" fontId="10" fillId="0" borderId="0" xfId="0" applyFont="1"/>
    <xf numFmtId="10" fontId="2" fillId="0" borderId="0" xfId="0" applyNumberFormat="1" applyFont="1"/>
    <xf numFmtId="165" fontId="12" fillId="0" borderId="0" xfId="0" applyNumberFormat="1" applyFont="1"/>
    <xf numFmtId="165" fontId="13" fillId="0" borderId="0" xfId="0" applyNumberFormat="1" applyFont="1"/>
    <xf numFmtId="165" fontId="14" fillId="0" borderId="0" xfId="0" applyNumberFormat="1" applyFont="1"/>
    <xf numFmtId="165" fontId="15" fillId="0" borderId="0" xfId="0" applyNumberFormat="1" applyFont="1"/>
    <xf numFmtId="165" fontId="16" fillId="0" borderId="0" xfId="0" applyNumberFormat="1" applyFont="1"/>
    <xf numFmtId="165" fontId="3" fillId="0" borderId="0" xfId="0" applyNumberFormat="1" applyFont="1"/>
    <xf numFmtId="165" fontId="13" fillId="0" borderId="9" xfId="0" applyNumberFormat="1" applyFont="1" applyBorder="1"/>
    <xf numFmtId="0" fontId="14" fillId="0" borderId="0" xfId="0" applyFont="1"/>
    <xf numFmtId="10" fontId="3" fillId="0" borderId="0" xfId="0" applyNumberFormat="1" applyFont="1"/>
    <xf numFmtId="2" fontId="3" fillId="0" borderId="0" xfId="0" applyNumberFormat="1" applyFont="1"/>
    <xf numFmtId="9" fontId="6" fillId="0" borderId="0" xfId="1" applyFont="1" applyFill="1"/>
    <xf numFmtId="165" fontId="6" fillId="0" borderId="9" xfId="0" applyNumberFormat="1" applyFont="1" applyBorder="1"/>
    <xf numFmtId="165" fontId="3" fillId="0" borderId="10" xfId="0" applyNumberFormat="1" applyFont="1" applyBorder="1"/>
    <xf numFmtId="165" fontId="3" fillId="0" borderId="11" xfId="0" applyNumberFormat="1" applyFont="1" applyBorder="1"/>
    <xf numFmtId="9" fontId="3" fillId="0" borderId="0" xfId="1" applyFont="1"/>
    <xf numFmtId="165" fontId="17" fillId="0" borderId="0" xfId="0" applyNumberFormat="1" applyFont="1"/>
    <xf numFmtId="165" fontId="2" fillId="0" borderId="0" xfId="0" applyNumberFormat="1" applyFont="1"/>
    <xf numFmtId="9" fontId="2" fillId="0" borderId="0" xfId="1" applyFont="1"/>
    <xf numFmtId="1" fontId="0" fillId="0" borderId="0" xfId="0" applyNumberFormat="1"/>
    <xf numFmtId="164" fontId="0" fillId="0" borderId="0" xfId="1" applyNumberFormat="1" applyFont="1"/>
    <xf numFmtId="1" fontId="18" fillId="0" borderId="0" xfId="0" applyNumberFormat="1" applyFont="1"/>
    <xf numFmtId="165" fontId="18" fillId="0" borderId="0" xfId="0" applyNumberFormat="1" applyFont="1"/>
    <xf numFmtId="9" fontId="0" fillId="0" borderId="0" xfId="0" applyNumberFormat="1"/>
    <xf numFmtId="10" fontId="0" fillId="0" borderId="0" xfId="0" applyNumberFormat="1"/>
    <xf numFmtId="165" fontId="3" fillId="0" borderId="9" xfId="0" applyNumberFormat="1" applyFont="1" applyBorder="1"/>
    <xf numFmtId="0" fontId="6" fillId="5" borderId="0" xfId="0" applyFont="1" applyFill="1"/>
    <xf numFmtId="1" fontId="19" fillId="0" borderId="0" xfId="0" applyNumberFormat="1" applyFont="1"/>
    <xf numFmtId="165" fontId="19" fillId="0" borderId="0" xfId="0" applyNumberFormat="1" applyFont="1"/>
    <xf numFmtId="165" fontId="6" fillId="5" borderId="0" xfId="0" applyNumberFormat="1" applyFont="1" applyFill="1"/>
    <xf numFmtId="165" fontId="6" fillId="0" borderId="7" xfId="0" applyNumberFormat="1" applyFont="1" applyBorder="1"/>
    <xf numFmtId="49" fontId="20" fillId="0" borderId="0" xfId="0" applyNumberFormat="1" applyFont="1" applyAlignment="1">
      <alignment horizontal="left"/>
    </xf>
    <xf numFmtId="37" fontId="21" fillId="0" borderId="0" xfId="0" applyNumberFormat="1" applyFont="1" applyAlignment="1">
      <alignment vertical="center"/>
    </xf>
    <xf numFmtId="166" fontId="20" fillId="0" borderId="0" xfId="0" applyNumberFormat="1" applyFont="1" applyAlignment="1">
      <alignment horizontal="right"/>
    </xf>
    <xf numFmtId="167" fontId="20" fillId="0" borderId="0" xfId="0" applyNumberFormat="1" applyFont="1" applyAlignment="1">
      <alignment horizontal="right"/>
    </xf>
    <xf numFmtId="0" fontId="22" fillId="0" borderId="0" xfId="0" applyFont="1" applyAlignment="1">
      <alignment horizontal="left" indent="1"/>
    </xf>
    <xf numFmtId="168" fontId="23" fillId="0" borderId="0" xfId="0" applyNumberFormat="1" applyFont="1"/>
    <xf numFmtId="1" fontId="22" fillId="0" borderId="0" xfId="0" applyNumberFormat="1" applyFont="1" applyAlignment="1">
      <alignment horizontal="right"/>
    </xf>
    <xf numFmtId="165" fontId="3" fillId="5" borderId="0" xfId="0" applyNumberFormat="1" applyFont="1" applyFill="1"/>
    <xf numFmtId="0" fontId="3" fillId="0" borderId="12" xfId="0" applyFont="1" applyBorder="1"/>
    <xf numFmtId="9" fontId="6" fillId="0" borderId="3" xfId="0" applyNumberFormat="1" applyFont="1" applyBorder="1"/>
    <xf numFmtId="0" fontId="3" fillId="0" borderId="13" xfId="0" applyFont="1" applyBorder="1"/>
    <xf numFmtId="9" fontId="6" fillId="0" borderId="8" xfId="0" applyNumberFormat="1" applyFont="1" applyBorder="1"/>
    <xf numFmtId="1" fontId="24" fillId="0" borderId="0" xfId="0" applyNumberFormat="1" applyFont="1"/>
    <xf numFmtId="165" fontId="24" fillId="0" borderId="0" xfId="0" applyNumberFormat="1" applyFont="1"/>
    <xf numFmtId="165" fontId="3" fillId="5" borderId="14" xfId="0" applyNumberFormat="1" applyFont="1" applyFill="1" applyBorder="1"/>
    <xf numFmtId="165" fontId="6" fillId="0" borderId="14" xfId="0" applyNumberFormat="1" applyFont="1" applyBorder="1"/>
    <xf numFmtId="165" fontId="0" fillId="0" borderId="14" xfId="0" applyNumberFormat="1" applyBorder="1"/>
    <xf numFmtId="165" fontId="18" fillId="0" borderId="14" xfId="0" applyNumberFormat="1" applyFont="1" applyBorder="1"/>
    <xf numFmtId="165" fontId="0" fillId="0" borderId="9" xfId="0" applyNumberFormat="1" applyBorder="1"/>
    <xf numFmtId="165" fontId="0" fillId="0" borderId="10" xfId="0" applyNumberFormat="1" applyBorder="1"/>
    <xf numFmtId="165" fontId="6" fillId="5" borderId="15" xfId="0" applyNumberFormat="1" applyFont="1" applyFill="1" applyBorder="1"/>
    <xf numFmtId="165" fontId="3" fillId="5" borderId="16" xfId="0" applyNumberFormat="1" applyFont="1" applyFill="1" applyBorder="1"/>
    <xf numFmtId="165" fontId="3" fillId="5" borderId="17" xfId="0" applyNumberFormat="1" applyFont="1" applyFill="1" applyBorder="1"/>
    <xf numFmtId="165" fontId="6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5" fontId="6" fillId="0" borderId="9" xfId="0" applyNumberFormat="1" applyFont="1" applyBorder="1" applyAlignment="1">
      <alignment horizontal="center"/>
    </xf>
    <xf numFmtId="9" fontId="0" fillId="0" borderId="0" xfId="1" applyFont="1" applyBorder="1"/>
    <xf numFmtId="165" fontId="0" fillId="0" borderId="18" xfId="0" applyNumberFormat="1" applyBorder="1"/>
    <xf numFmtId="165" fontId="6" fillId="0" borderId="0" xfId="0" applyNumberFormat="1" applyFont="1" applyAlignment="1">
      <alignment horizontal="right" vertical="center" wrapText="1"/>
    </xf>
    <xf numFmtId="0" fontId="5" fillId="2" borderId="0" xfId="0" applyFont="1" applyFill="1" applyAlignment="1">
      <alignment horizontal="left"/>
    </xf>
    <xf numFmtId="165" fontId="0" fillId="0" borderId="0" xfId="0" applyNumberFormat="1" applyAlignment="1">
      <alignment horizontal="center"/>
    </xf>
    <xf numFmtId="0" fontId="18" fillId="0" borderId="0" xfId="0" applyFont="1"/>
    <xf numFmtId="165" fontId="6" fillId="0" borderId="0" xfId="0" applyNumberFormat="1" applyFont="1" applyAlignment="1">
      <alignment horizontal="center" vertical="center"/>
    </xf>
    <xf numFmtId="169" fontId="6" fillId="0" borderId="0" xfId="0" applyNumberFormat="1" applyFont="1" applyAlignment="1">
      <alignment horizontal="right" vertical="center" wrapText="1"/>
    </xf>
    <xf numFmtId="0" fontId="0" fillId="0" borderId="0" xfId="0" applyFont="1"/>
    <xf numFmtId="9" fontId="18" fillId="0" borderId="0" xfId="1" applyFont="1"/>
    <xf numFmtId="10" fontId="18" fillId="0" borderId="0" xfId="0" applyNumberFormat="1" applyFont="1"/>
    <xf numFmtId="164" fontId="18" fillId="0" borderId="0" xfId="1" applyNumberFormat="1" applyFont="1"/>
    <xf numFmtId="165" fontId="3" fillId="0" borderId="0" xfId="0" applyNumberFormat="1" applyFont="1" applyBorder="1"/>
    <xf numFmtId="165" fontId="0" fillId="0" borderId="0" xfId="0" applyNumberFormat="1" applyFont="1"/>
    <xf numFmtId="0" fontId="2" fillId="5" borderId="15" xfId="0" applyFont="1" applyFill="1" applyBorder="1" applyAlignment="1">
      <alignment vertical="center"/>
    </xf>
    <xf numFmtId="0" fontId="2" fillId="5" borderId="16" xfId="0" applyFont="1" applyFill="1" applyBorder="1" applyAlignment="1">
      <alignment vertical="center"/>
    </xf>
    <xf numFmtId="0" fontId="2" fillId="5" borderId="17" xfId="0" applyFont="1" applyFill="1" applyBorder="1" applyAlignment="1">
      <alignment vertical="center"/>
    </xf>
    <xf numFmtId="165" fontId="3" fillId="5" borderId="19" xfId="0" applyNumberFormat="1" applyFont="1" applyFill="1" applyBorder="1" applyAlignment="1">
      <alignment vertical="center"/>
    </xf>
    <xf numFmtId="165" fontId="3" fillId="5" borderId="20" xfId="0" applyNumberFormat="1" applyFont="1" applyFill="1" applyBorder="1" applyAlignment="1">
      <alignment vertical="center"/>
    </xf>
    <xf numFmtId="165" fontId="6" fillId="0" borderId="0" xfId="0" applyNumberFormat="1" applyFont="1" applyBorder="1"/>
    <xf numFmtId="1" fontId="3" fillId="0" borderId="0" xfId="0" applyNumberFormat="1" applyFont="1" applyBorder="1"/>
    <xf numFmtId="1" fontId="0" fillId="0" borderId="0" xfId="0" applyNumberFormat="1" applyBorder="1"/>
    <xf numFmtId="165" fontId="6" fillId="3" borderId="0" xfId="0" applyNumberFormat="1" applyFont="1" applyFill="1"/>
    <xf numFmtId="1" fontId="17" fillId="0" borderId="0" xfId="1" applyNumberFormat="1" applyFont="1" applyBorder="1"/>
    <xf numFmtId="165" fontId="22" fillId="3" borderId="0" xfId="0" applyNumberFormat="1" applyFont="1" applyFill="1" applyAlignment="1">
      <alignment horizontal="right"/>
    </xf>
    <xf numFmtId="0" fontId="0" fillId="0" borderId="0" xfId="0" applyBorder="1" applyAlignment="1">
      <alignment horizontal="center"/>
    </xf>
    <xf numFmtId="1" fontId="3" fillId="0" borderId="5" xfId="0" applyNumberFormat="1" applyFont="1" applyBorder="1"/>
    <xf numFmtId="1" fontId="3" fillId="0" borderId="7" xfId="0" applyNumberFormat="1" applyFont="1" applyBorder="1"/>
    <xf numFmtId="1" fontId="3" fillId="0" borderId="8" xfId="0" applyNumberFormat="1" applyFont="1" applyBorder="1"/>
    <xf numFmtId="165" fontId="3" fillId="5" borderId="15" xfId="0" applyNumberFormat="1" applyFont="1" applyFill="1" applyBorder="1"/>
    <xf numFmtId="0" fontId="3" fillId="0" borderId="4" xfId="0" applyFont="1" applyBorder="1"/>
    <xf numFmtId="0" fontId="3" fillId="0" borderId="0" xfId="0" applyFont="1" applyBorder="1"/>
    <xf numFmtId="0" fontId="3" fillId="0" borderId="4" xfId="0" applyFont="1" applyBorder="1" applyAlignment="1"/>
    <xf numFmtId="0" fontId="3" fillId="0" borderId="0" xfId="0" applyFont="1" applyBorder="1" applyAlignment="1"/>
    <xf numFmtId="165" fontId="0" fillId="0" borderId="0" xfId="0" applyNumberFormat="1" applyBorder="1"/>
    <xf numFmtId="0" fontId="6" fillId="0" borderId="0" xfId="0" applyFont="1" applyBorder="1"/>
    <xf numFmtId="9" fontId="6" fillId="0" borderId="0" xfId="0" applyNumberFormat="1" applyFont="1" applyBorder="1"/>
    <xf numFmtId="9" fontId="6" fillId="0" borderId="0" xfId="1" applyFont="1" applyBorder="1"/>
    <xf numFmtId="0" fontId="6" fillId="0" borderId="4" xfId="0" applyFont="1" applyBorder="1"/>
    <xf numFmtId="0" fontId="6" fillId="0" borderId="4" xfId="0" applyFont="1" applyBorder="1" applyAlignment="1"/>
    <xf numFmtId="9" fontId="3" fillId="0" borderId="0" xfId="1" applyFont="1" applyBorder="1"/>
    <xf numFmtId="9" fontId="3" fillId="0" borderId="0" xfId="0" applyNumberFormat="1" applyFont="1" applyBorder="1"/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3" fontId="6" fillId="0" borderId="0" xfId="0" applyNumberFormat="1" applyFont="1" applyBorder="1"/>
    <xf numFmtId="3" fontId="0" fillId="0" borderId="0" xfId="0" applyNumberFormat="1" applyBorder="1"/>
    <xf numFmtId="0" fontId="3" fillId="0" borderId="5" xfId="0" applyFont="1" applyBorder="1"/>
    <xf numFmtId="165" fontId="6" fillId="0" borderId="5" xfId="0" applyNumberFormat="1" applyFont="1" applyBorder="1"/>
    <xf numFmtId="9" fontId="6" fillId="0" borderId="5" xfId="1" applyFont="1" applyBorder="1"/>
    <xf numFmtId="3" fontId="6" fillId="0" borderId="5" xfId="0" applyNumberFormat="1" applyFont="1" applyBorder="1"/>
    <xf numFmtId="9" fontId="0" fillId="0" borderId="0" xfId="0" applyNumberFormat="1" applyBorder="1"/>
    <xf numFmtId="0" fontId="0" fillId="0" borderId="4" xfId="0" applyBorder="1" applyAlignment="1"/>
    <xf numFmtId="9" fontId="6" fillId="0" borderId="0" xfId="1" applyFont="1" applyBorder="1" applyAlignment="1"/>
    <xf numFmtId="0" fontId="2" fillId="2" borderId="0" xfId="0" applyFont="1" applyFill="1"/>
    <xf numFmtId="1" fontId="3" fillId="3" borderId="0" xfId="0" applyNumberFormat="1" applyFont="1" applyFill="1"/>
    <xf numFmtId="9" fontId="3" fillId="4" borderId="0" xfId="1" applyFont="1" applyFill="1"/>
    <xf numFmtId="165" fontId="6" fillId="0" borderId="0" xfId="1" applyNumberFormat="1" applyFont="1"/>
    <xf numFmtId="164" fontId="8" fillId="3" borderId="0" xfId="0" applyNumberFormat="1" applyFont="1" applyFill="1"/>
    <xf numFmtId="9" fontId="6" fillId="0" borderId="0" xfId="1" applyNumberFormat="1" applyFont="1"/>
    <xf numFmtId="0" fontId="3" fillId="0" borderId="2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1" xfId="0" applyFont="1" applyBorder="1"/>
    <xf numFmtId="165" fontId="6" fillId="0" borderId="10" xfId="0" applyNumberFormat="1" applyFont="1" applyBorder="1"/>
    <xf numFmtId="1" fontId="3" fillId="0" borderId="10" xfId="0" applyNumberFormat="1" applyFont="1" applyBorder="1"/>
    <xf numFmtId="1" fontId="3" fillId="0" borderId="11" xfId="0" applyNumberFormat="1" applyFont="1" applyBorder="1"/>
    <xf numFmtId="10" fontId="3" fillId="0" borderId="9" xfId="0" applyNumberFormat="1" applyFont="1" applyBorder="1"/>
    <xf numFmtId="10" fontId="3" fillId="0" borderId="11" xfId="0" applyNumberFormat="1" applyFont="1" applyBorder="1"/>
    <xf numFmtId="165" fontId="6" fillId="5" borderId="14" xfId="0" applyNumberFormat="1" applyFont="1" applyFill="1" applyBorder="1"/>
    <xf numFmtId="37" fontId="6" fillId="0" borderId="0" xfId="0" applyNumberFormat="1" applyFont="1"/>
    <xf numFmtId="0" fontId="6" fillId="0" borderId="0" xfId="0" applyFont="1" applyBorder="1" applyAlignment="1">
      <alignment horizontal="center"/>
    </xf>
    <xf numFmtId="0" fontId="0" fillId="0" borderId="1" xfId="0" applyBorder="1"/>
    <xf numFmtId="0" fontId="3" fillId="0" borderId="2" xfId="0" applyFont="1" applyBorder="1"/>
    <xf numFmtId="0" fontId="6" fillId="0" borderId="5" xfId="0" applyFont="1" applyBorder="1"/>
    <xf numFmtId="165" fontId="6" fillId="0" borderId="0" xfId="0" applyNumberFormat="1" applyFont="1" applyBorder="1" applyAlignment="1"/>
    <xf numFmtId="165" fontId="3" fillId="0" borderId="0" xfId="0" applyNumberFormat="1" applyFont="1" applyBorder="1" applyAlignment="1"/>
    <xf numFmtId="165" fontId="0" fillId="0" borderId="0" xfId="0" applyNumberFormat="1" applyBorder="1" applyAlignment="1"/>
    <xf numFmtId="0" fontId="3" fillId="0" borderId="4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5" xfId="0" applyFont="1" applyBorder="1" applyAlignment="1">
      <alignment horizontal="center"/>
    </xf>
    <xf numFmtId="165" fontId="0" fillId="0" borderId="5" xfId="0" applyNumberFormat="1" applyBorder="1"/>
    <xf numFmtId="2" fontId="6" fillId="0" borderId="0" xfId="1" applyNumberFormat="1" applyFont="1" applyBorder="1"/>
    <xf numFmtId="164" fontId="6" fillId="0" borderId="0" xfId="1" applyNumberFormat="1" applyFont="1" applyBorder="1"/>
    <xf numFmtId="10" fontId="6" fillId="0" borderId="0" xfId="0" applyNumberFormat="1" applyFont="1" applyBorder="1"/>
    <xf numFmtId="0" fontId="0" fillId="0" borderId="2" xfId="0" applyBorder="1"/>
    <xf numFmtId="0" fontId="0" fillId="0" borderId="3" xfId="0" applyBorder="1"/>
    <xf numFmtId="9" fontId="0" fillId="0" borderId="5" xfId="1" applyFont="1" applyBorder="1"/>
    <xf numFmtId="165" fontId="3" fillId="0" borderId="5" xfId="0" applyNumberFormat="1" applyFont="1" applyBorder="1"/>
    <xf numFmtId="10" fontId="3" fillId="0" borderId="0" xfId="1" applyNumberFormat="1" applyFont="1" applyBorder="1"/>
    <xf numFmtId="0" fontId="25" fillId="0" borderId="0" xfId="2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27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26" fillId="0" borderId="0" xfId="0" applyFont="1" applyBorder="1" applyAlignment="1">
      <alignment horizontal="center"/>
    </xf>
    <xf numFmtId="0" fontId="26" fillId="0" borderId="5" xfId="0" applyFont="1" applyBorder="1" applyAlignment="1">
      <alignment horizontal="center"/>
    </xf>
    <xf numFmtId="0" fontId="7" fillId="2" borderId="0" xfId="0" applyFont="1" applyFill="1" applyAlignment="1">
      <alignment horizontal="left"/>
    </xf>
    <xf numFmtId="0" fontId="7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3" fillId="0" borderId="0" xfId="0" applyFont="1" applyAlignment="1">
      <alignment horizontal="center"/>
    </xf>
    <xf numFmtId="0" fontId="9" fillId="2" borderId="0" xfId="0" applyFont="1" applyFill="1" applyAlignment="1">
      <alignment horizontal="left"/>
    </xf>
    <xf numFmtId="0" fontId="3" fillId="0" borderId="0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30" fillId="6" borderId="1" xfId="0" applyFont="1" applyFill="1" applyBorder="1" applyAlignment="1">
      <alignment horizontal="center"/>
    </xf>
    <xf numFmtId="0" fontId="30" fillId="6" borderId="2" xfId="0" applyFont="1" applyFill="1" applyBorder="1" applyAlignment="1">
      <alignment horizontal="center"/>
    </xf>
    <xf numFmtId="0" fontId="30" fillId="6" borderId="3" xfId="0" applyFont="1" applyFill="1" applyBorder="1" applyAlignment="1">
      <alignment horizontal="center"/>
    </xf>
    <xf numFmtId="0" fontId="30" fillId="6" borderId="6" xfId="0" applyFont="1" applyFill="1" applyBorder="1" applyAlignment="1">
      <alignment horizontal="center"/>
    </xf>
    <xf numFmtId="0" fontId="30" fillId="6" borderId="7" xfId="0" applyFont="1" applyFill="1" applyBorder="1" applyAlignment="1">
      <alignment horizontal="center"/>
    </xf>
    <xf numFmtId="0" fontId="30" fillId="6" borderId="8" xfId="0" applyFont="1" applyFill="1" applyBorder="1" applyAlignment="1">
      <alignment horizontal="center"/>
    </xf>
    <xf numFmtId="0" fontId="31" fillId="6" borderId="1" xfId="0" applyFont="1" applyFill="1" applyBorder="1" applyAlignment="1">
      <alignment horizontal="center"/>
    </xf>
    <xf numFmtId="0" fontId="31" fillId="6" borderId="2" xfId="0" applyFont="1" applyFill="1" applyBorder="1" applyAlignment="1">
      <alignment horizontal="center"/>
    </xf>
    <xf numFmtId="0" fontId="31" fillId="6" borderId="3" xfId="0" applyFont="1" applyFill="1" applyBorder="1" applyAlignment="1">
      <alignment horizontal="center"/>
    </xf>
    <xf numFmtId="0" fontId="31" fillId="6" borderId="6" xfId="0" applyFont="1" applyFill="1" applyBorder="1" applyAlignment="1">
      <alignment horizontal="center"/>
    </xf>
    <xf numFmtId="0" fontId="31" fillId="6" borderId="7" xfId="0" applyFont="1" applyFill="1" applyBorder="1" applyAlignment="1">
      <alignment horizontal="center"/>
    </xf>
    <xf numFmtId="0" fontId="31" fillId="6" borderId="8" xfId="0" applyFont="1" applyFill="1" applyBorder="1" applyAlignment="1">
      <alignment horizontal="center"/>
    </xf>
    <xf numFmtId="0" fontId="29" fillId="6" borderId="1" xfId="0" applyFont="1" applyFill="1" applyBorder="1" applyAlignment="1">
      <alignment horizontal="center"/>
    </xf>
    <xf numFmtId="0" fontId="29" fillId="6" borderId="2" xfId="0" applyFont="1" applyFill="1" applyBorder="1" applyAlignment="1">
      <alignment horizontal="center"/>
    </xf>
    <xf numFmtId="0" fontId="29" fillId="6" borderId="3" xfId="0" applyFont="1" applyFill="1" applyBorder="1" applyAlignment="1">
      <alignment horizontal="center"/>
    </xf>
    <xf numFmtId="0" fontId="29" fillId="6" borderId="4" xfId="0" applyFont="1" applyFill="1" applyBorder="1" applyAlignment="1">
      <alignment horizontal="center"/>
    </xf>
    <xf numFmtId="0" fontId="29" fillId="6" borderId="0" xfId="0" applyFont="1" applyFill="1" applyBorder="1" applyAlignment="1">
      <alignment horizontal="center"/>
    </xf>
    <xf numFmtId="0" fontId="29" fillId="6" borderId="5" xfId="0" applyFont="1" applyFill="1" applyBorder="1" applyAlignment="1">
      <alignment horizontal="center"/>
    </xf>
    <xf numFmtId="9" fontId="0" fillId="0" borderId="0" xfId="0" applyNumberFormat="1" applyBorder="1" applyAlignment="1">
      <alignment horizontal="center"/>
    </xf>
    <xf numFmtId="0" fontId="9" fillId="2" borderId="1" xfId="0" applyFont="1" applyFill="1" applyBorder="1" applyAlignment="1">
      <alignment vertical="center"/>
    </xf>
    <xf numFmtId="0" fontId="9" fillId="2" borderId="2" xfId="0" applyFont="1" applyFill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0" fontId="9" fillId="2" borderId="4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9" fillId="2" borderId="5" xfId="0" applyFont="1" applyFill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0" fontId="7" fillId="2" borderId="3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7" fillId="2" borderId="5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0" fontId="0" fillId="0" borderId="0" xfId="0" applyNumberFormat="1" applyFont="1" applyBorder="1" applyAlignment="1">
      <alignment horizontal="center"/>
    </xf>
    <xf numFmtId="0" fontId="31" fillId="3" borderId="1" xfId="0" applyFont="1" applyFill="1" applyBorder="1" applyAlignment="1">
      <alignment horizontal="center"/>
    </xf>
    <xf numFmtId="0" fontId="31" fillId="3" borderId="2" xfId="0" applyFont="1" applyFill="1" applyBorder="1" applyAlignment="1">
      <alignment horizontal="center"/>
    </xf>
    <xf numFmtId="0" fontId="31" fillId="3" borderId="3" xfId="0" applyFont="1" applyFill="1" applyBorder="1" applyAlignment="1">
      <alignment horizontal="center"/>
    </xf>
    <xf numFmtId="0" fontId="31" fillId="3" borderId="6" xfId="0" applyFont="1" applyFill="1" applyBorder="1" applyAlignment="1">
      <alignment horizontal="center"/>
    </xf>
    <xf numFmtId="0" fontId="31" fillId="3" borderId="7" xfId="0" applyFont="1" applyFill="1" applyBorder="1" applyAlignment="1">
      <alignment horizontal="center"/>
    </xf>
    <xf numFmtId="0" fontId="31" fillId="3" borderId="8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9" fontId="0" fillId="0" borderId="0" xfId="1" applyFont="1" applyBorder="1" applyAlignment="1">
      <alignment horizontal="center"/>
    </xf>
    <xf numFmtId="10" fontId="3" fillId="0" borderId="0" xfId="1" applyNumberFormat="1" applyFont="1" applyBorder="1" applyAlignment="1">
      <alignment horizontal="center"/>
    </xf>
    <xf numFmtId="9" fontId="6" fillId="5" borderId="0" xfId="1" applyFont="1" applyFill="1" applyAlignment="1">
      <alignment horizontal="center"/>
    </xf>
    <xf numFmtId="165" fontId="0" fillId="0" borderId="0" xfId="1" applyNumberFormat="1" applyFont="1"/>
    <xf numFmtId="0" fontId="32" fillId="2" borderId="0" xfId="0" applyFont="1" applyFill="1" applyBorder="1" applyAlignment="1">
      <alignment horizontal="center" vertical="center"/>
    </xf>
    <xf numFmtId="0" fontId="28" fillId="2" borderId="0" xfId="0" applyFont="1" applyFill="1" applyAlignment="1">
      <alignment horizontal="left" vertical="center"/>
    </xf>
    <xf numFmtId="0" fontId="4" fillId="0" borderId="4" xfId="2" applyBorder="1" applyAlignment="1"/>
    <xf numFmtId="0" fontId="0" fillId="0" borderId="4" xfId="0" applyBorder="1" applyAlignment="1">
      <alignment horizontal="center"/>
    </xf>
    <xf numFmtId="0" fontId="0" fillId="0" borderId="7" xfId="0" applyBorder="1" applyAlignment="1"/>
    <xf numFmtId="0" fontId="0" fillId="0" borderId="8" xfId="0" applyBorder="1" applyAlignment="1"/>
    <xf numFmtId="0" fontId="33" fillId="2" borderId="1" xfId="0" applyFont="1" applyFill="1" applyBorder="1" applyAlignment="1">
      <alignment horizontal="center" vertical="center"/>
    </xf>
    <xf numFmtId="0" fontId="33" fillId="2" borderId="2" xfId="0" applyFont="1" applyFill="1" applyBorder="1" applyAlignment="1">
      <alignment horizontal="center" vertical="center"/>
    </xf>
    <xf numFmtId="0" fontId="33" fillId="2" borderId="3" xfId="0" applyFont="1" applyFill="1" applyBorder="1" applyAlignment="1">
      <alignment horizontal="center" vertical="center"/>
    </xf>
    <xf numFmtId="0" fontId="35" fillId="0" borderId="0" xfId="0" applyFont="1" applyBorder="1" applyAlignment="1">
      <alignment vertical="center"/>
    </xf>
    <xf numFmtId="0" fontId="36" fillId="0" borderId="0" xfId="2" applyFont="1" applyBorder="1" applyAlignment="1">
      <alignment horizontal="center" vertical="center"/>
    </xf>
    <xf numFmtId="0" fontId="37" fillId="0" borderId="0" xfId="0" applyFont="1" applyBorder="1" applyAlignment="1">
      <alignment vertical="center"/>
    </xf>
    <xf numFmtId="0" fontId="38" fillId="0" borderId="0" xfId="0" applyFont="1" applyBorder="1"/>
    <xf numFmtId="0" fontId="38" fillId="0" borderId="0" xfId="0" applyFont="1"/>
    <xf numFmtId="0" fontId="36" fillId="0" borderId="0" xfId="2" quotePrefix="1" applyFont="1" applyBorder="1" applyAlignment="1">
      <alignment horizontal="center" vertical="center"/>
    </xf>
    <xf numFmtId="0" fontId="39" fillId="2" borderId="1" xfId="0" applyFont="1" applyFill="1" applyBorder="1" applyAlignment="1">
      <alignment horizontal="center"/>
    </xf>
    <xf numFmtId="0" fontId="39" fillId="2" borderId="2" xfId="0" applyFont="1" applyFill="1" applyBorder="1" applyAlignment="1">
      <alignment horizontal="center"/>
    </xf>
    <xf numFmtId="0" fontId="39" fillId="2" borderId="3" xfId="0" applyFont="1" applyFill="1" applyBorder="1" applyAlignment="1">
      <alignment horizontal="center"/>
    </xf>
    <xf numFmtId="0" fontId="0" fillId="0" borderId="6" xfId="0" applyBorder="1" applyAlignment="1"/>
    <xf numFmtId="0" fontId="39" fillId="2" borderId="6" xfId="0" applyFont="1" applyFill="1" applyBorder="1" applyAlignment="1">
      <alignment horizontal="center"/>
    </xf>
    <xf numFmtId="0" fontId="39" fillId="2" borderId="7" xfId="0" applyFont="1" applyFill="1" applyBorder="1" applyAlignment="1">
      <alignment horizontal="center"/>
    </xf>
    <xf numFmtId="0" fontId="39" fillId="2" borderId="8" xfId="0" applyFont="1" applyFill="1" applyBorder="1" applyAlignment="1">
      <alignment horizontal="center"/>
    </xf>
    <xf numFmtId="0" fontId="33" fillId="2" borderId="6" xfId="0" applyFont="1" applyFill="1" applyBorder="1" applyAlignment="1">
      <alignment horizontal="center" vertical="center"/>
    </xf>
    <xf numFmtId="0" fontId="33" fillId="2" borderId="7" xfId="0" applyFont="1" applyFill="1" applyBorder="1" applyAlignment="1">
      <alignment horizontal="center" vertical="center"/>
    </xf>
    <xf numFmtId="0" fontId="33" fillId="2" borderId="8" xfId="0" applyFont="1" applyFill="1" applyBorder="1" applyAlignment="1">
      <alignment horizontal="center" vertical="center"/>
    </xf>
    <xf numFmtId="0" fontId="40" fillId="0" borderId="0" xfId="0" applyFont="1" applyBorder="1" applyAlignment="1">
      <alignment vertical="center"/>
    </xf>
    <xf numFmtId="0" fontId="34" fillId="0" borderId="4" xfId="0" applyFont="1" applyBorder="1"/>
    <xf numFmtId="0" fontId="34" fillId="0" borderId="4" xfId="0" applyFont="1" applyBorder="1" applyAlignment="1">
      <alignment vertical="center"/>
    </xf>
  </cellXfs>
  <cellStyles count="3">
    <cellStyle name="Hyperlink" xfId="2" builtinId="8"/>
    <cellStyle name="Normal" xfId="0" builtinId="0"/>
    <cellStyle name="Percent" xfId="1" builtinId="5"/>
  </cellStyles>
  <dxfs count="3"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trlProps/ctrlProp1.xml><?xml version="1.0" encoding="utf-8"?>
<formControlPr xmlns="http://schemas.microsoft.com/office/spreadsheetml/2009/9/main" objectType="Drop" dropStyle="combo" dx="26" fmlaLink="$C$4" fmlaRange="$D$10:$D$13" noThreeD="1" sel="1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</xdr:colOff>
          <xdr:row>3</xdr:row>
          <xdr:rowOff>15240</xdr:rowOff>
        </xdr:from>
        <xdr:to>
          <xdr:col>3</xdr:col>
          <xdr:colOff>22860</xdr:colOff>
          <xdr:row>4</xdr:row>
          <xdr:rowOff>7620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2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V31"/>
  <sheetViews>
    <sheetView showGridLines="0" topLeftCell="A2" workbookViewId="0">
      <selection activeCell="K12" sqref="K12:V12"/>
    </sheetView>
  </sheetViews>
  <sheetFormatPr defaultRowHeight="14.4"/>
  <sheetData>
    <row r="2" spans="2:22" ht="15" thickBot="1"/>
    <row r="3" spans="2:22" ht="14.4" customHeight="1">
      <c r="B3" s="180" t="s">
        <v>0</v>
      </c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2"/>
    </row>
    <row r="4" spans="2:22" ht="14.4" customHeight="1">
      <c r="B4" s="183"/>
      <c r="C4" s="184"/>
      <c r="D4" s="184"/>
      <c r="E4" s="184"/>
      <c r="F4" s="184"/>
      <c r="G4" s="184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5"/>
    </row>
    <row r="5" spans="2:22">
      <c r="B5" s="3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4"/>
    </row>
    <row r="6" spans="2:22">
      <c r="B6" s="3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4"/>
    </row>
    <row r="7" spans="2:22" ht="36.6">
      <c r="B7" s="3"/>
      <c r="C7" s="186" t="s">
        <v>1</v>
      </c>
      <c r="D7" s="186"/>
      <c r="E7" s="186"/>
      <c r="F7" s="186"/>
      <c r="G7" s="186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4"/>
    </row>
    <row r="8" spans="2:22">
      <c r="B8" s="3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4"/>
    </row>
    <row r="9" spans="2:22">
      <c r="B9" s="3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4"/>
    </row>
    <row r="10" spans="2:22" ht="31.2">
      <c r="B10" s="3"/>
      <c r="C10" s="179" t="s">
        <v>180</v>
      </c>
      <c r="D10" s="179"/>
      <c r="E10" s="179"/>
      <c r="F10" s="179"/>
      <c r="G10" s="179"/>
      <c r="H10" s="179"/>
      <c r="I10" s="179"/>
      <c r="J10" s="2"/>
      <c r="K10" s="189" t="s">
        <v>3</v>
      </c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90"/>
    </row>
    <row r="11" spans="2:22">
      <c r="B11" s="3"/>
      <c r="C11" s="179"/>
      <c r="D11" s="179"/>
      <c r="E11" s="179"/>
      <c r="F11" s="179"/>
      <c r="G11" s="179"/>
      <c r="H11" s="179"/>
      <c r="I11" s="179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4"/>
    </row>
    <row r="12" spans="2:22">
      <c r="B12" s="3"/>
      <c r="C12" s="179"/>
      <c r="D12" s="179"/>
      <c r="E12" s="179"/>
      <c r="F12" s="179"/>
      <c r="G12" s="179"/>
      <c r="H12" s="179"/>
      <c r="I12" s="179"/>
      <c r="J12" s="2"/>
      <c r="K12" s="187"/>
      <c r="L12" s="187"/>
      <c r="M12" s="187"/>
      <c r="N12" s="187"/>
      <c r="O12" s="187"/>
      <c r="P12" s="187"/>
      <c r="Q12" s="187"/>
      <c r="R12" s="187"/>
      <c r="S12" s="187"/>
      <c r="T12" s="187"/>
      <c r="U12" s="187"/>
      <c r="V12" s="188"/>
    </row>
    <row r="13" spans="2:22">
      <c r="B13" s="3"/>
      <c r="C13" s="116"/>
      <c r="D13" s="116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4"/>
    </row>
    <row r="14" spans="2:22">
      <c r="B14" s="3"/>
      <c r="C14" s="179" t="s">
        <v>2</v>
      </c>
      <c r="D14" s="179"/>
      <c r="E14" s="179"/>
      <c r="F14" s="179"/>
      <c r="G14" s="179"/>
      <c r="H14" s="179"/>
      <c r="I14" s="179"/>
      <c r="J14" s="2"/>
      <c r="K14" s="187"/>
      <c r="L14" s="187"/>
      <c r="M14" s="187"/>
      <c r="N14" s="187"/>
      <c r="O14" s="187"/>
      <c r="P14" s="187"/>
      <c r="Q14" s="187"/>
      <c r="R14" s="187"/>
      <c r="S14" s="187"/>
      <c r="T14" s="187"/>
      <c r="U14" s="187"/>
      <c r="V14" s="188"/>
    </row>
    <row r="15" spans="2:22">
      <c r="B15" s="3"/>
      <c r="C15" s="179"/>
      <c r="D15" s="179"/>
      <c r="E15" s="179"/>
      <c r="F15" s="179"/>
      <c r="G15" s="179"/>
      <c r="H15" s="179"/>
      <c r="I15" s="179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4"/>
    </row>
    <row r="16" spans="2:22">
      <c r="B16" s="3"/>
      <c r="C16" s="179"/>
      <c r="D16" s="179"/>
      <c r="E16" s="179"/>
      <c r="F16" s="179"/>
      <c r="G16" s="179"/>
      <c r="H16" s="179"/>
      <c r="I16" s="179"/>
      <c r="J16" s="2"/>
      <c r="K16" s="187"/>
      <c r="L16" s="187"/>
      <c r="M16" s="187"/>
      <c r="N16" s="187"/>
      <c r="O16" s="187"/>
      <c r="P16" s="187"/>
      <c r="Q16" s="187"/>
      <c r="R16" s="187"/>
      <c r="S16" s="187"/>
      <c r="T16" s="187"/>
      <c r="U16" s="187"/>
      <c r="V16" s="188"/>
    </row>
    <row r="17" spans="2:22"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4"/>
    </row>
    <row r="18" spans="2:22">
      <c r="B18" s="3"/>
      <c r="C18" s="179" t="s">
        <v>181</v>
      </c>
      <c r="D18" s="179"/>
      <c r="E18" s="179"/>
      <c r="F18" s="179"/>
      <c r="G18" s="179"/>
      <c r="H18" s="179"/>
      <c r="I18" s="179"/>
      <c r="J18" s="2"/>
      <c r="K18" s="187"/>
      <c r="L18" s="187"/>
      <c r="M18" s="187"/>
      <c r="N18" s="187"/>
      <c r="O18" s="187"/>
      <c r="P18" s="187"/>
      <c r="Q18" s="187"/>
      <c r="R18" s="187"/>
      <c r="S18" s="187"/>
      <c r="T18" s="187"/>
      <c r="U18" s="187"/>
      <c r="V18" s="188"/>
    </row>
    <row r="19" spans="2:22">
      <c r="B19" s="3"/>
      <c r="C19" s="179"/>
      <c r="D19" s="179"/>
      <c r="E19" s="179"/>
      <c r="F19" s="179"/>
      <c r="G19" s="179"/>
      <c r="H19" s="179"/>
      <c r="I19" s="179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4"/>
    </row>
    <row r="20" spans="2:22">
      <c r="B20" s="3"/>
      <c r="C20" s="179"/>
      <c r="D20" s="179"/>
      <c r="E20" s="179"/>
      <c r="F20" s="179"/>
      <c r="G20" s="179"/>
      <c r="H20" s="179"/>
      <c r="I20" s="179"/>
      <c r="J20" s="2"/>
      <c r="K20" s="187"/>
      <c r="L20" s="187"/>
      <c r="M20" s="187"/>
      <c r="N20" s="187"/>
      <c r="O20" s="187"/>
      <c r="P20" s="187"/>
      <c r="Q20" s="187"/>
      <c r="R20" s="187"/>
      <c r="S20" s="187"/>
      <c r="T20" s="187"/>
      <c r="U20" s="187"/>
      <c r="V20" s="188"/>
    </row>
    <row r="21" spans="2:22">
      <c r="B21" s="3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4"/>
    </row>
    <row r="22" spans="2:22">
      <c r="B22" s="3"/>
      <c r="C22" s="179" t="s">
        <v>182</v>
      </c>
      <c r="D22" s="179"/>
      <c r="E22" s="179"/>
      <c r="F22" s="179"/>
      <c r="G22" s="179"/>
      <c r="H22" s="179"/>
      <c r="I22" s="179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4"/>
    </row>
    <row r="23" spans="2:22">
      <c r="B23" s="3"/>
      <c r="C23" s="179"/>
      <c r="D23" s="179"/>
      <c r="E23" s="179"/>
      <c r="F23" s="179"/>
      <c r="G23" s="179"/>
      <c r="H23" s="179"/>
      <c r="I23" s="179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4"/>
    </row>
    <row r="24" spans="2:22">
      <c r="B24" s="3"/>
      <c r="C24" s="179"/>
      <c r="D24" s="179"/>
      <c r="E24" s="179"/>
      <c r="F24" s="179"/>
      <c r="G24" s="179"/>
      <c r="H24" s="179"/>
      <c r="I24" s="179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4"/>
    </row>
    <row r="25" spans="2:22">
      <c r="B25" s="3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4"/>
    </row>
    <row r="26" spans="2:22">
      <c r="B26" s="3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4"/>
    </row>
    <row r="27" spans="2:22">
      <c r="B27" s="3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4"/>
    </row>
    <row r="28" spans="2:22">
      <c r="B28" s="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4"/>
    </row>
    <row r="29" spans="2:22">
      <c r="B29" s="3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4"/>
    </row>
    <row r="30" spans="2:22">
      <c r="B30" s="3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4"/>
    </row>
    <row r="31" spans="2:22" ht="15" thickBot="1">
      <c r="B31" s="5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7"/>
    </row>
  </sheetData>
  <mergeCells count="12">
    <mergeCell ref="C10:I12"/>
    <mergeCell ref="C14:I16"/>
    <mergeCell ref="C18:I20"/>
    <mergeCell ref="C22:I24"/>
    <mergeCell ref="B3:V4"/>
    <mergeCell ref="C7:G7"/>
    <mergeCell ref="K18:V18"/>
    <mergeCell ref="K20:V20"/>
    <mergeCell ref="K10:V10"/>
    <mergeCell ref="K12:V12"/>
    <mergeCell ref="K14:V14"/>
    <mergeCell ref="K16:V16"/>
  </mergeCells>
  <hyperlinks>
    <hyperlink ref="C10:I12" location="Output!A1" display="Output!A1" xr:uid="{E7C00C2B-55E7-4688-87E6-F497ECC5FE17}"/>
    <hyperlink ref="C14:I16" location="Input!A1" display="Inputs" xr:uid="{8234E508-5957-457B-94AF-F609A80ADC5E}"/>
    <hyperlink ref="C18:I20" location="'DCF Evaluation'!A1" display="DCF Evaluation" xr:uid="{9E18CA7B-80F6-42BA-A9B3-4868A2E4EE83}"/>
    <hyperlink ref="C22:I24" location="Model!A1" display="Model" xr:uid="{31B656AE-CD93-4D2B-9C15-B3357BB746C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232CF-2955-4301-85A3-252652DF979C}">
  <dimension ref="B3:V32"/>
  <sheetViews>
    <sheetView tabSelected="1" topLeftCell="J1" zoomScale="98" workbookViewId="0">
      <selection activeCell="T17" sqref="T17"/>
    </sheetView>
  </sheetViews>
  <sheetFormatPr defaultRowHeight="14.4"/>
  <cols>
    <col min="3" max="3" width="6.6640625" customWidth="1"/>
    <col min="5" max="5" width="17.77734375" customWidth="1"/>
  </cols>
  <sheetData>
    <row r="3" spans="2:22" ht="15" thickBot="1"/>
    <row r="4" spans="2:22">
      <c r="B4" s="180" t="s">
        <v>228</v>
      </c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2"/>
    </row>
    <row r="5" spans="2:22">
      <c r="B5" s="183"/>
      <c r="C5" s="184"/>
      <c r="D5" s="184"/>
      <c r="E5" s="184"/>
      <c r="F5" s="184"/>
      <c r="G5" s="184"/>
      <c r="H5" s="184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5"/>
    </row>
    <row r="6" spans="2:22" ht="15" thickBot="1">
      <c r="B6" s="3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4"/>
    </row>
    <row r="7" spans="2:22">
      <c r="B7" s="3"/>
      <c r="C7" s="254" t="s">
        <v>1</v>
      </c>
      <c r="D7" s="255"/>
      <c r="E7" s="255"/>
      <c r="F7" s="255"/>
      <c r="G7" s="255"/>
      <c r="H7" s="255"/>
      <c r="I7" s="255"/>
      <c r="J7" s="255"/>
      <c r="K7" s="255"/>
      <c r="L7" s="256"/>
      <c r="M7" s="2"/>
      <c r="N7" s="2"/>
      <c r="O7" s="263" t="s">
        <v>248</v>
      </c>
      <c r="P7" s="264"/>
      <c r="Q7" s="264"/>
      <c r="R7" s="264"/>
      <c r="S7" s="264"/>
      <c r="T7" s="264"/>
      <c r="U7" s="265"/>
      <c r="V7" s="4"/>
    </row>
    <row r="8" spans="2:22" ht="15" thickBot="1">
      <c r="B8" s="3"/>
      <c r="C8" s="270"/>
      <c r="D8" s="271"/>
      <c r="E8" s="271"/>
      <c r="F8" s="271"/>
      <c r="G8" s="271"/>
      <c r="H8" s="271"/>
      <c r="I8" s="271"/>
      <c r="J8" s="271"/>
      <c r="K8" s="271"/>
      <c r="L8" s="272"/>
      <c r="M8" s="2"/>
      <c r="N8" s="2"/>
      <c r="O8" s="267"/>
      <c r="P8" s="268"/>
      <c r="Q8" s="268"/>
      <c r="R8" s="268"/>
      <c r="S8" s="268"/>
      <c r="T8" s="268"/>
      <c r="U8" s="269"/>
      <c r="V8" s="4"/>
    </row>
    <row r="9" spans="2:22" ht="14.4" customHeight="1">
      <c r="B9" s="3"/>
      <c r="C9" s="3"/>
      <c r="D9" s="2"/>
      <c r="E9" s="2"/>
      <c r="F9" s="2"/>
      <c r="G9" s="2"/>
      <c r="H9" s="2"/>
      <c r="I9" s="2"/>
      <c r="J9" s="2"/>
      <c r="K9" s="2"/>
      <c r="L9" s="4"/>
      <c r="O9" s="3"/>
      <c r="P9" s="2"/>
      <c r="Q9" s="2"/>
      <c r="R9" s="2"/>
      <c r="S9" s="2"/>
      <c r="T9" s="2"/>
      <c r="U9" s="4"/>
      <c r="V9" s="4"/>
    </row>
    <row r="10" spans="2:22" ht="14.4" customHeight="1">
      <c r="B10" s="3"/>
      <c r="C10" s="3"/>
      <c r="L10" s="4"/>
      <c r="O10" s="3"/>
      <c r="P10" s="2"/>
      <c r="Q10" s="2"/>
      <c r="R10" s="2"/>
      <c r="S10" s="2"/>
      <c r="T10" s="2"/>
      <c r="U10" s="4"/>
      <c r="V10" s="4"/>
    </row>
    <row r="11" spans="2:22" ht="14.4" customHeight="1">
      <c r="B11" s="3"/>
      <c r="C11" s="250"/>
      <c r="L11" s="4"/>
      <c r="O11" s="3"/>
      <c r="P11" s="2"/>
      <c r="Q11" s="2"/>
      <c r="R11" s="2"/>
      <c r="S11" s="2"/>
      <c r="T11" s="2"/>
      <c r="U11" s="10"/>
      <c r="V11" s="10"/>
    </row>
    <row r="12" spans="2:22" ht="18">
      <c r="B12" s="3"/>
      <c r="C12" s="3"/>
      <c r="D12" s="257"/>
      <c r="E12" s="257"/>
      <c r="F12" s="2"/>
      <c r="G12" s="2"/>
      <c r="H12" s="2"/>
      <c r="I12" s="2"/>
      <c r="J12" s="2"/>
      <c r="K12" s="2"/>
      <c r="L12" s="4"/>
      <c r="O12" s="3"/>
      <c r="P12" s="2"/>
      <c r="Q12" s="273"/>
      <c r="R12" s="273"/>
      <c r="S12" s="273"/>
      <c r="T12" s="273"/>
      <c r="U12" s="4"/>
      <c r="V12" s="4"/>
    </row>
    <row r="13" spans="2:22" ht="14.4" customHeight="1">
      <c r="B13" s="3"/>
      <c r="C13" s="250"/>
      <c r="D13" s="258" t="s">
        <v>2</v>
      </c>
      <c r="E13" s="258"/>
      <c r="F13" s="258"/>
      <c r="G13" s="258"/>
      <c r="H13" s="258"/>
      <c r="I13" s="258"/>
      <c r="J13" s="258"/>
      <c r="K13" s="258"/>
      <c r="L13" s="4"/>
      <c r="O13" s="3"/>
      <c r="P13" s="273"/>
      <c r="Q13" s="273"/>
      <c r="R13" s="273"/>
      <c r="S13" s="273"/>
      <c r="T13" s="273"/>
      <c r="U13" s="10"/>
      <c r="V13" s="10"/>
    </row>
    <row r="14" spans="2:22" ht="14.4" customHeight="1">
      <c r="B14" s="3"/>
      <c r="C14" s="251"/>
      <c r="D14" s="258"/>
      <c r="E14" s="258"/>
      <c r="F14" s="258"/>
      <c r="G14" s="258"/>
      <c r="H14" s="258"/>
      <c r="I14" s="258"/>
      <c r="J14" s="258"/>
      <c r="K14" s="258"/>
      <c r="L14" s="4"/>
      <c r="O14" s="275" t="s">
        <v>252</v>
      </c>
      <c r="P14" s="273"/>
      <c r="Q14" s="273"/>
      <c r="R14" s="273"/>
      <c r="S14" s="273"/>
      <c r="T14" s="273"/>
      <c r="U14" s="4"/>
      <c r="V14" s="4"/>
    </row>
    <row r="15" spans="2:22" ht="31.2">
      <c r="B15" s="3"/>
      <c r="C15" s="250"/>
      <c r="D15" s="259"/>
      <c r="E15" s="259"/>
      <c r="F15" s="260"/>
      <c r="G15" s="260"/>
      <c r="H15" s="260"/>
      <c r="I15" s="260"/>
      <c r="J15" s="260"/>
      <c r="K15" s="260"/>
      <c r="L15" s="4"/>
      <c r="O15" s="3"/>
      <c r="P15" s="2"/>
      <c r="Q15" s="2"/>
      <c r="R15" s="2"/>
      <c r="S15" s="2"/>
      <c r="T15" s="2"/>
      <c r="U15" s="10"/>
      <c r="V15" s="10"/>
    </row>
    <row r="16" spans="2:22" ht="31.2">
      <c r="B16" s="3"/>
      <c r="C16" s="251"/>
      <c r="D16" s="261"/>
      <c r="E16" s="261"/>
      <c r="F16" s="261"/>
      <c r="G16" s="261"/>
      <c r="H16" s="261"/>
      <c r="I16" s="261"/>
      <c r="J16" s="261"/>
      <c r="K16" s="261"/>
      <c r="L16" s="4"/>
      <c r="O16" s="3"/>
      <c r="P16" s="2"/>
      <c r="Q16" s="2"/>
      <c r="R16" s="2"/>
      <c r="S16" s="2"/>
      <c r="T16" s="2"/>
      <c r="U16" s="4"/>
      <c r="V16" s="4"/>
    </row>
    <row r="17" spans="2:22" ht="14.4" customHeight="1">
      <c r="B17" s="3"/>
      <c r="C17" s="3"/>
      <c r="D17" s="262" t="s">
        <v>181</v>
      </c>
      <c r="E17" s="262"/>
      <c r="F17" s="262"/>
      <c r="G17" s="262"/>
      <c r="H17" s="262"/>
      <c r="I17" s="262"/>
      <c r="J17" s="262"/>
      <c r="K17" s="262"/>
      <c r="L17" s="4"/>
      <c r="O17" s="274" t="s">
        <v>249</v>
      </c>
      <c r="P17" s="2"/>
      <c r="Q17" s="2"/>
      <c r="R17" s="2"/>
      <c r="S17" s="2"/>
      <c r="T17" s="2"/>
      <c r="U17" s="10"/>
      <c r="V17" s="10"/>
    </row>
    <row r="18" spans="2:22" ht="14.4" customHeight="1">
      <c r="B18" s="3"/>
      <c r="C18" s="3"/>
      <c r="D18" s="262"/>
      <c r="E18" s="262"/>
      <c r="F18" s="262"/>
      <c r="G18" s="262"/>
      <c r="H18" s="262"/>
      <c r="I18" s="262"/>
      <c r="J18" s="262"/>
      <c r="K18" s="262"/>
      <c r="L18" s="4"/>
      <c r="O18" s="274"/>
      <c r="P18" s="2"/>
      <c r="Q18" s="2"/>
      <c r="R18" s="2"/>
      <c r="S18" s="2"/>
      <c r="T18" s="2"/>
      <c r="U18" s="4"/>
      <c r="V18" s="4"/>
    </row>
    <row r="19" spans="2:22" ht="31.2">
      <c r="B19" s="3"/>
      <c r="C19" s="3"/>
      <c r="D19" s="260"/>
      <c r="E19" s="260"/>
      <c r="F19" s="260"/>
      <c r="G19" s="260"/>
      <c r="H19" s="260"/>
      <c r="I19" s="260"/>
      <c r="J19" s="260"/>
      <c r="K19" s="260"/>
      <c r="L19" s="4"/>
      <c r="O19" s="3"/>
      <c r="P19" s="2"/>
      <c r="Q19" s="2"/>
      <c r="R19" s="2"/>
      <c r="S19" s="2"/>
      <c r="T19" s="2"/>
      <c r="U19" s="10"/>
      <c r="V19" s="10"/>
    </row>
    <row r="20" spans="2:22" ht="31.2">
      <c r="B20" s="3"/>
      <c r="C20" s="3"/>
      <c r="D20" s="260"/>
      <c r="E20" s="260"/>
      <c r="F20" s="260"/>
      <c r="G20" s="260"/>
      <c r="H20" s="260"/>
      <c r="I20" s="260"/>
      <c r="J20" s="260"/>
      <c r="K20" s="260"/>
      <c r="L20" s="4"/>
      <c r="O20" s="274" t="s">
        <v>250</v>
      </c>
      <c r="P20" s="2"/>
      <c r="Q20" s="2"/>
      <c r="R20" s="2"/>
      <c r="S20" s="2"/>
      <c r="T20" s="2"/>
      <c r="U20" s="4"/>
      <c r="V20" s="4"/>
    </row>
    <row r="21" spans="2:22" ht="14.4" customHeight="1">
      <c r="B21" s="3"/>
      <c r="C21" s="3"/>
      <c r="D21" s="260"/>
      <c r="E21" s="260"/>
      <c r="F21" s="260"/>
      <c r="G21" s="260"/>
      <c r="H21" s="260"/>
      <c r="I21" s="260"/>
      <c r="J21" s="260"/>
      <c r="K21" s="260"/>
      <c r="L21" s="4"/>
      <c r="O21" s="274"/>
      <c r="P21" s="2"/>
      <c r="Q21" s="2"/>
      <c r="R21" s="2"/>
      <c r="S21" s="2"/>
      <c r="T21" s="2"/>
      <c r="U21" s="10"/>
      <c r="V21" s="10"/>
    </row>
    <row r="22" spans="2:22" ht="14.4" customHeight="1">
      <c r="B22" s="3"/>
      <c r="C22" s="3"/>
      <c r="D22" s="258" t="s">
        <v>182</v>
      </c>
      <c r="E22" s="258"/>
      <c r="F22" s="258"/>
      <c r="G22" s="258"/>
      <c r="H22" s="258"/>
      <c r="I22" s="258"/>
      <c r="J22" s="258"/>
      <c r="K22" s="258"/>
      <c r="L22" s="4"/>
      <c r="O22" s="3"/>
      <c r="P22" s="2"/>
      <c r="Q22" s="2"/>
      <c r="R22" s="2"/>
      <c r="S22" s="2"/>
      <c r="T22" s="2"/>
      <c r="U22" s="4"/>
      <c r="V22" s="4"/>
    </row>
    <row r="23" spans="2:22" ht="15.6">
      <c r="B23" s="3"/>
      <c r="C23" s="3"/>
      <c r="D23" s="258"/>
      <c r="E23" s="258"/>
      <c r="F23" s="258"/>
      <c r="G23" s="258"/>
      <c r="H23" s="258"/>
      <c r="I23" s="258"/>
      <c r="J23" s="258"/>
      <c r="K23" s="258"/>
      <c r="L23" s="4"/>
      <c r="O23" s="274" t="s">
        <v>251</v>
      </c>
      <c r="P23" s="2"/>
      <c r="Q23" s="2"/>
      <c r="R23" s="2"/>
      <c r="S23" s="2"/>
      <c r="T23" s="2"/>
      <c r="U23" s="4"/>
      <c r="V23" s="4"/>
    </row>
    <row r="24" spans="2:22">
      <c r="B24" s="3"/>
      <c r="C24" s="3"/>
      <c r="D24" s="2"/>
      <c r="E24" s="2"/>
      <c r="F24" s="2"/>
      <c r="G24" s="2"/>
      <c r="H24" s="2"/>
      <c r="I24" s="2"/>
      <c r="J24" s="2"/>
      <c r="K24" s="2"/>
      <c r="L24" s="4"/>
      <c r="O24" s="3"/>
      <c r="P24" s="2"/>
      <c r="Q24" s="2"/>
      <c r="R24" s="2"/>
      <c r="S24" s="2"/>
      <c r="T24" s="2"/>
      <c r="U24" s="4"/>
      <c r="V24" s="4"/>
    </row>
    <row r="25" spans="2:22">
      <c r="B25" s="3"/>
      <c r="C25" s="3"/>
      <c r="D25" s="2"/>
      <c r="E25" s="2"/>
      <c r="F25" s="2"/>
      <c r="G25" s="2"/>
      <c r="H25" s="2"/>
      <c r="I25" s="2"/>
      <c r="J25" s="2"/>
      <c r="K25" s="2"/>
      <c r="L25" s="4"/>
      <c r="O25" s="3"/>
      <c r="P25" s="2"/>
      <c r="Q25" s="2"/>
      <c r="R25" s="2"/>
      <c r="S25" s="2"/>
      <c r="T25" s="2"/>
      <c r="U25" s="4"/>
      <c r="V25" s="4"/>
    </row>
    <row r="26" spans="2:22">
      <c r="B26" s="3"/>
      <c r="C26" s="3"/>
      <c r="D26" s="2"/>
      <c r="E26" s="2"/>
      <c r="F26" s="2"/>
      <c r="G26" s="2"/>
      <c r="H26" s="2"/>
      <c r="I26" s="2"/>
      <c r="J26" s="2"/>
      <c r="K26" s="2"/>
      <c r="L26" s="4"/>
      <c r="O26" s="3"/>
      <c r="P26" s="2"/>
      <c r="Q26" s="2"/>
      <c r="R26" s="2"/>
      <c r="S26" s="2"/>
      <c r="T26" s="2"/>
      <c r="U26" s="4"/>
      <c r="V26" s="4"/>
    </row>
    <row r="27" spans="2:22">
      <c r="B27" s="3"/>
      <c r="C27" s="3"/>
      <c r="D27" s="2"/>
      <c r="E27" s="2"/>
      <c r="F27" s="2"/>
      <c r="G27" s="2"/>
      <c r="H27" s="2"/>
      <c r="I27" s="2"/>
      <c r="J27" s="2"/>
      <c r="K27" s="2"/>
      <c r="L27" s="4"/>
      <c r="O27" s="3"/>
      <c r="P27" s="2"/>
      <c r="Q27" s="2"/>
      <c r="R27" s="2"/>
      <c r="S27" s="2"/>
      <c r="T27" s="2"/>
      <c r="U27" s="4"/>
      <c r="V27" s="4"/>
    </row>
    <row r="28" spans="2:22">
      <c r="B28" s="3"/>
      <c r="C28" s="3"/>
      <c r="D28" s="2"/>
      <c r="E28" s="2"/>
      <c r="F28" s="2"/>
      <c r="G28" s="2"/>
      <c r="H28" s="2"/>
      <c r="I28" s="2"/>
      <c r="J28" s="2"/>
      <c r="K28" s="2"/>
      <c r="L28" s="4"/>
      <c r="O28" s="3"/>
      <c r="P28" s="2"/>
      <c r="Q28" s="2"/>
      <c r="R28" s="2"/>
      <c r="S28" s="2"/>
      <c r="T28" s="2"/>
      <c r="U28" s="4"/>
      <c r="V28" s="4"/>
    </row>
    <row r="29" spans="2:22">
      <c r="B29" s="3"/>
      <c r="C29" s="3"/>
      <c r="D29" s="2"/>
      <c r="E29" s="2"/>
      <c r="F29" s="2"/>
      <c r="G29" s="2"/>
      <c r="H29" s="2"/>
      <c r="I29" s="2"/>
      <c r="J29" s="2"/>
      <c r="K29" s="2"/>
      <c r="L29" s="4"/>
      <c r="O29" s="3"/>
      <c r="P29" s="2"/>
      <c r="Q29" s="2"/>
      <c r="R29" s="2"/>
      <c r="S29" s="2"/>
      <c r="T29" s="2"/>
      <c r="U29" s="4"/>
      <c r="V29" s="4"/>
    </row>
    <row r="30" spans="2:22" ht="15" thickBot="1">
      <c r="B30" s="3"/>
      <c r="C30" s="5"/>
      <c r="D30" s="6"/>
      <c r="E30" s="252"/>
      <c r="F30" s="252"/>
      <c r="G30" s="252"/>
      <c r="H30" s="252"/>
      <c r="I30" s="252"/>
      <c r="J30" s="252"/>
      <c r="K30" s="252"/>
      <c r="L30" s="253"/>
      <c r="M30" s="9"/>
      <c r="N30" s="9"/>
      <c r="O30" s="266"/>
      <c r="P30" s="252"/>
      <c r="Q30" s="252"/>
      <c r="R30" s="252"/>
      <c r="S30" s="252"/>
      <c r="T30" s="6"/>
      <c r="U30" s="7"/>
      <c r="V30" s="4"/>
    </row>
    <row r="31" spans="2:22">
      <c r="B31" s="3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4"/>
    </row>
    <row r="32" spans="2:22" ht="15" thickBot="1"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7"/>
    </row>
  </sheetData>
  <mergeCells count="6">
    <mergeCell ref="B4:V5"/>
    <mergeCell ref="C7:L8"/>
    <mergeCell ref="D13:K14"/>
    <mergeCell ref="D17:K18"/>
    <mergeCell ref="D22:K23"/>
    <mergeCell ref="O7:U8"/>
  </mergeCells>
  <hyperlinks>
    <hyperlink ref="D13:E14" location="Input!A1" display="Inputs" xr:uid="{00F2F445-77FB-45B3-8920-D689FD3F7FAC}"/>
    <hyperlink ref="D17:E18" location="'DCF Evaluation'!A1" display="'DCF Evaluation'!A1" xr:uid="{C5AEA7BF-416D-40B8-8E1D-A80BB9CDFFBD}"/>
    <hyperlink ref="D22:E23" location="Model!A1" display="Model" xr:uid="{8A0AC7A5-110A-4325-A71C-207BEC2B99F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BFD6C-BCD7-4B78-BEF6-A1F990FD7FF0}">
  <dimension ref="A1:AJ94"/>
  <sheetViews>
    <sheetView zoomScale="41" zoomScaleNormal="100" workbookViewId="0">
      <selection sqref="A1:X2"/>
    </sheetView>
  </sheetViews>
  <sheetFormatPr defaultRowHeight="14.4"/>
  <cols>
    <col min="2" max="2" width="14.21875" bestFit="1" customWidth="1"/>
    <col min="3" max="3" width="26.21875" bestFit="1" customWidth="1"/>
    <col min="4" max="4" width="30.6640625" bestFit="1" customWidth="1"/>
    <col min="7" max="10" width="10" bestFit="1" customWidth="1"/>
    <col min="11" max="11" width="12.5546875" bestFit="1" customWidth="1"/>
  </cols>
  <sheetData>
    <row r="1" spans="1:24">
      <c r="A1" s="192" t="s">
        <v>5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</row>
    <row r="2" spans="1:24">
      <c r="A2" s="192"/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</row>
    <row r="4" spans="1:24">
      <c r="B4" s="11" t="s">
        <v>6</v>
      </c>
      <c r="C4" s="1">
        <v>1</v>
      </c>
    </row>
    <row r="6" spans="1:24">
      <c r="C6" s="11" t="s">
        <v>7</v>
      </c>
    </row>
    <row r="9" spans="1:24">
      <c r="C9" s="11" t="s">
        <v>8</v>
      </c>
      <c r="G9" s="148" cm="1">
        <f t="array" ref="G9">_xlfn.IFS($C$4=1,G10,$C$4=2,G11,$C$4=3,G12,$C$4=4,G13)</f>
        <v>2.5000000000000001E-2</v>
      </c>
      <c r="H9" s="148" cm="1">
        <f t="array" ref="H9">_xlfn.IFS($C$4=1,H10,$C$4=2,H11,$C$4=3,H12,$C$4=4,H13)</f>
        <v>0.03</v>
      </c>
      <c r="I9" s="148" cm="1">
        <f t="array" ref="I9">_xlfn.IFS($C$4=1,I10,$C$4=2,I11,$C$4=3,I12,$C$4=4,I13)</f>
        <v>2.75E-2</v>
      </c>
      <c r="J9" s="148" cm="1">
        <f t="array" ref="J9">_xlfn.IFS($C$4=1,J10,$C$4=2,J11,$C$4=3,J12,$C$4=4,J13)</f>
        <v>2.75E-2</v>
      </c>
      <c r="K9" s="148" cm="1">
        <f t="array" ref="K9">_xlfn.IFS($C$4=1,K10,$C$4=2,K11,$C$4=3,K12,$C$4=4,K13)</f>
        <v>2.8333333333333332E-2</v>
      </c>
    </row>
    <row r="10" spans="1:24">
      <c r="D10" t="s">
        <v>9</v>
      </c>
      <c r="G10" s="12">
        <v>2.5000000000000001E-2</v>
      </c>
      <c r="H10" s="12">
        <v>0.03</v>
      </c>
      <c r="I10" s="16">
        <f>AVERAGE(F10:H10)</f>
        <v>2.75E-2</v>
      </c>
      <c r="J10" s="16">
        <f t="shared" ref="J10:K10" si="0">AVERAGE(G10:I10)</f>
        <v>2.75E-2</v>
      </c>
      <c r="K10" s="16">
        <f t="shared" si="0"/>
        <v>2.8333333333333332E-2</v>
      </c>
    </row>
    <row r="11" spans="1:24">
      <c r="D11" t="s">
        <v>10</v>
      </c>
      <c r="G11" s="12">
        <v>0.02</v>
      </c>
      <c r="H11" s="12">
        <v>2.5000000000000001E-2</v>
      </c>
      <c r="I11" s="16">
        <f>AVERAGE(F11:H11)</f>
        <v>2.2499999999999999E-2</v>
      </c>
      <c r="J11" s="149">
        <f t="shared" ref="J11:K11" si="1">AVERAGE(G11:I11)</f>
        <v>2.2500000000000003E-2</v>
      </c>
      <c r="K11" s="16">
        <f t="shared" si="1"/>
        <v>2.3333333333333334E-2</v>
      </c>
    </row>
    <row r="12" spans="1:24">
      <c r="D12" t="s">
        <v>11</v>
      </c>
      <c r="G12" s="13">
        <v>0.01</v>
      </c>
      <c r="H12" s="13">
        <v>0.01</v>
      </c>
      <c r="I12" s="16">
        <f>AVERAGE(F12:H12)</f>
        <v>0.01</v>
      </c>
      <c r="J12" s="16">
        <f t="shared" ref="J12:K12" si="2">AVERAGE(G12:I12)</f>
        <v>0.01</v>
      </c>
      <c r="K12" s="16">
        <f t="shared" si="2"/>
        <v>0.01</v>
      </c>
    </row>
    <row r="13" spans="1:24">
      <c r="D13" t="s">
        <v>12</v>
      </c>
      <c r="G13" s="13">
        <v>0</v>
      </c>
      <c r="H13" s="13">
        <v>0</v>
      </c>
      <c r="I13" s="16">
        <f>AVERAGE(F13:H13)</f>
        <v>0</v>
      </c>
      <c r="J13" s="16">
        <f t="shared" ref="J13:K13" si="3">AVERAGE(G13:I13)</f>
        <v>0</v>
      </c>
      <c r="K13" s="16">
        <f t="shared" si="3"/>
        <v>0</v>
      </c>
    </row>
    <row r="17" spans="3:11">
      <c r="C17" s="11" t="s">
        <v>13</v>
      </c>
      <c r="G17" s="14" cm="1">
        <f t="array" ref="G17">_xlfn.IFS($C$4=1,G18,$C$4=2,G19,$C$4=3,G20,$C$4=4,G21)</f>
        <v>3.2000000000000001E-2</v>
      </c>
      <c r="H17" s="14" cm="1">
        <f t="array" ref="H17">_xlfn.IFS($C$4=1,H18,$C$4=2,H19,$C$4=3,H20,$C$4=4,H21)</f>
        <v>3.5000000000000003E-2</v>
      </c>
      <c r="I17" s="14" cm="1">
        <f t="array" ref="I17">_xlfn.IFS($C$4=1,I18,$C$4=2,I19,$C$4=3,I20,$C$4=4,I21)</f>
        <v>3.3500000000000002E-2</v>
      </c>
      <c r="J17" s="14" cm="1">
        <f t="array" ref="J17">_xlfn.IFS($C$4=1,J18,$C$4=2,J19,$C$4=3,J20,$C$4=4,J21)</f>
        <v>3.3500000000000002E-2</v>
      </c>
      <c r="K17" s="14" cm="1">
        <f t="array" ref="K17">_xlfn.IFS($C$4=1,K18,$C$4=2,K19,$C$4=3,K20,$C$4=4,K21)</f>
        <v>3.4000000000000002E-2</v>
      </c>
    </row>
    <row r="18" spans="3:11">
      <c r="D18" t="s">
        <v>9</v>
      </c>
      <c r="G18" s="15">
        <v>3.2000000000000001E-2</v>
      </c>
      <c r="H18" s="15">
        <v>3.5000000000000003E-2</v>
      </c>
      <c r="I18" s="16">
        <f>AVERAGE(F18:H18)</f>
        <v>3.3500000000000002E-2</v>
      </c>
      <c r="J18" s="16">
        <f t="shared" ref="J18:K21" si="4">AVERAGE(G18:I18)</f>
        <v>3.3500000000000002E-2</v>
      </c>
      <c r="K18" s="16">
        <f t="shared" si="4"/>
        <v>3.4000000000000002E-2</v>
      </c>
    </row>
    <row r="19" spans="3:11">
      <c r="D19" t="s">
        <v>10</v>
      </c>
      <c r="G19" s="15">
        <v>0.02</v>
      </c>
      <c r="H19" s="15">
        <v>0.02</v>
      </c>
      <c r="I19" s="16">
        <f t="shared" ref="I19:I21" si="5">AVERAGE(F19:H19)</f>
        <v>0.02</v>
      </c>
      <c r="J19" s="16">
        <f t="shared" si="4"/>
        <v>0.02</v>
      </c>
      <c r="K19" s="16">
        <f t="shared" si="4"/>
        <v>0.02</v>
      </c>
    </row>
    <row r="20" spans="3:11">
      <c r="D20" t="s">
        <v>11</v>
      </c>
      <c r="G20" s="15">
        <v>0.01</v>
      </c>
      <c r="H20" s="15">
        <v>0.01</v>
      </c>
      <c r="I20" s="16">
        <f t="shared" si="5"/>
        <v>0.01</v>
      </c>
      <c r="J20" s="16">
        <f t="shared" si="4"/>
        <v>0.01</v>
      </c>
      <c r="K20" s="16">
        <f t="shared" si="4"/>
        <v>0.01</v>
      </c>
    </row>
    <row r="21" spans="3:11">
      <c r="D21" t="s">
        <v>12</v>
      </c>
      <c r="G21" s="16">
        <v>0</v>
      </c>
      <c r="H21" s="16">
        <v>0</v>
      </c>
      <c r="I21" s="16">
        <f t="shared" si="5"/>
        <v>0</v>
      </c>
      <c r="J21" s="16">
        <f t="shared" si="4"/>
        <v>0</v>
      </c>
      <c r="K21" s="16">
        <f t="shared" si="4"/>
        <v>0</v>
      </c>
    </row>
    <row r="25" spans="3:11">
      <c r="C25" s="11" t="s">
        <v>14</v>
      </c>
      <c r="G25" s="17" cm="1">
        <f t="array" ref="G25">_xlfn.IFS($C$4=1,G26,$C$4=2,G27,$C$4=3,G28,$C$4=4,G29)</f>
        <v>95000</v>
      </c>
      <c r="H25" s="18" cm="1">
        <f t="array" ref="H25">_xlfn.IFS($C$4=1,H26,$C$4=2,H27,$C$4=3,H28,$C$4=4,H29)</f>
        <v>97500</v>
      </c>
      <c r="I25" s="145" cm="1">
        <f t="array" ref="I25">_xlfn.IFS($C$4=1,I26,$C$4=2,I27,$C$4=3,I28,$C$4=4,I29)</f>
        <v>96250</v>
      </c>
      <c r="J25" s="145" cm="1">
        <f t="array" ref="J25">_xlfn.IFS($C$4=1,J26,$C$4=2,J27,$C$4=3,J28,$C$4=4,J29)</f>
        <v>96250</v>
      </c>
      <c r="K25" s="145" cm="1">
        <f t="array" ref="K25">_xlfn.IFS($C$4=1,K26,$C$4=2,K27,$C$4=3,K28,$C$4=4,K29)</f>
        <v>96666.666666666672</v>
      </c>
    </row>
    <row r="26" spans="3:11">
      <c r="D26" t="s">
        <v>9</v>
      </c>
      <c r="G26" s="19">
        <v>95000</v>
      </c>
      <c r="H26" s="19">
        <v>97500</v>
      </c>
      <c r="I26" s="20">
        <f>AVERAGE(F26:H26)</f>
        <v>96250</v>
      </c>
      <c r="J26" s="20">
        <f t="shared" ref="J26:K29" si="6">AVERAGE(G26:I26)</f>
        <v>96250</v>
      </c>
      <c r="K26" s="20">
        <f t="shared" si="6"/>
        <v>96666.666666666672</v>
      </c>
    </row>
    <row r="27" spans="3:11">
      <c r="D27" t="s">
        <v>10</v>
      </c>
      <c r="G27" s="19">
        <v>74500</v>
      </c>
      <c r="H27" s="19">
        <v>75000</v>
      </c>
      <c r="I27" s="20">
        <f t="shared" ref="I27:I29" si="7">AVERAGE(F27:H27)</f>
        <v>74750</v>
      </c>
      <c r="J27" s="20">
        <f t="shared" si="6"/>
        <v>74750</v>
      </c>
      <c r="K27" s="20">
        <f t="shared" si="6"/>
        <v>74833.333333333328</v>
      </c>
    </row>
    <row r="28" spans="3:11">
      <c r="D28" t="s">
        <v>11</v>
      </c>
      <c r="G28" s="19">
        <v>22000</v>
      </c>
      <c r="H28" s="19">
        <v>25000</v>
      </c>
      <c r="I28" s="20">
        <f t="shared" si="7"/>
        <v>23500</v>
      </c>
      <c r="J28" s="20">
        <f>AVERAGE(G28:I28)</f>
        <v>23500</v>
      </c>
      <c r="K28" s="20">
        <f t="shared" si="6"/>
        <v>24000</v>
      </c>
    </row>
    <row r="29" spans="3:11">
      <c r="D29" t="s">
        <v>12</v>
      </c>
      <c r="G29" s="19">
        <v>0</v>
      </c>
      <c r="H29" s="19">
        <v>0</v>
      </c>
      <c r="I29" s="20">
        <f t="shared" si="7"/>
        <v>0</v>
      </c>
      <c r="J29" s="20">
        <f t="shared" si="6"/>
        <v>0</v>
      </c>
      <c r="K29" s="20">
        <f t="shared" si="6"/>
        <v>0</v>
      </c>
    </row>
    <row r="37" spans="1:36">
      <c r="G37" s="19"/>
      <c r="H37" s="19"/>
      <c r="I37" s="19"/>
      <c r="J37" s="19"/>
      <c r="K37" s="19"/>
    </row>
    <row r="42" spans="1:36">
      <c r="A42" s="193"/>
      <c r="B42" s="193"/>
      <c r="C42" s="193"/>
      <c r="D42" s="193"/>
      <c r="E42" s="193"/>
      <c r="F42" s="193"/>
      <c r="G42" s="193"/>
      <c r="H42" s="193"/>
      <c r="I42" s="193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Y42" s="193"/>
      <c r="Z42" s="193"/>
      <c r="AA42" s="193"/>
      <c r="AB42" s="193"/>
      <c r="AC42" s="193"/>
      <c r="AD42" s="193"/>
      <c r="AE42" s="193"/>
      <c r="AF42" s="193"/>
      <c r="AG42" s="193"/>
      <c r="AH42" s="193"/>
      <c r="AI42" s="193"/>
      <c r="AJ42" s="193"/>
    </row>
    <row r="43" spans="1:36">
      <c r="A43" s="193"/>
      <c r="B43" s="193"/>
      <c r="C43" s="193"/>
      <c r="D43" s="193"/>
      <c r="E43" s="193"/>
      <c r="F43" s="193"/>
      <c r="G43" s="193"/>
      <c r="H43" s="193"/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Y43" s="193"/>
      <c r="Z43" s="193"/>
      <c r="AA43" s="193"/>
      <c r="AB43" s="193"/>
      <c r="AC43" s="193"/>
      <c r="AD43" s="193"/>
      <c r="AE43" s="193"/>
      <c r="AF43" s="193"/>
      <c r="AG43" s="193"/>
      <c r="AH43" s="193"/>
      <c r="AI43" s="193"/>
      <c r="AJ43" s="193"/>
    </row>
    <row r="44" spans="1:36">
      <c r="A44" s="193"/>
      <c r="B44" s="193"/>
      <c r="C44" s="193"/>
      <c r="D44" s="193"/>
      <c r="E44" s="193"/>
      <c r="F44" s="193"/>
      <c r="G44" s="193"/>
      <c r="H44" s="193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Y44" s="193"/>
      <c r="Z44" s="193"/>
      <c r="AA44" s="193"/>
      <c r="AB44" s="193"/>
      <c r="AC44" s="193"/>
      <c r="AD44" s="193"/>
      <c r="AE44" s="193"/>
      <c r="AF44" s="193"/>
      <c r="AG44" s="193"/>
      <c r="AH44" s="193"/>
      <c r="AI44" s="193"/>
      <c r="AJ44" s="193"/>
    </row>
    <row r="45" spans="1:36">
      <c r="C45" s="194" t="s">
        <v>246</v>
      </c>
    </row>
    <row r="46" spans="1:36">
      <c r="C46" s="194"/>
    </row>
    <row r="47" spans="1:36">
      <c r="C47" s="194"/>
    </row>
    <row r="51" spans="4:12" ht="36.6">
      <c r="D51" s="191" t="s">
        <v>15</v>
      </c>
      <c r="E51" s="191"/>
      <c r="F51" s="191"/>
      <c r="G51" s="191"/>
      <c r="H51" s="191"/>
      <c r="I51" s="191"/>
      <c r="J51" s="191"/>
      <c r="K51" s="191"/>
    </row>
    <row r="53" spans="4:12">
      <c r="D53" s="11" t="s">
        <v>16</v>
      </c>
      <c r="E53" t="s">
        <v>17</v>
      </c>
      <c r="G53" s="19">
        <v>32</v>
      </c>
      <c r="H53" s="19">
        <v>35</v>
      </c>
      <c r="I53" s="20">
        <f>AVERAGE(F53:H53)</f>
        <v>33.5</v>
      </c>
      <c r="J53" s="20">
        <f t="shared" ref="J53:K55" si="8">AVERAGE(G53:I53)</f>
        <v>33.5</v>
      </c>
      <c r="K53" s="20">
        <f t="shared" si="8"/>
        <v>34</v>
      </c>
    </row>
    <row r="54" spans="4:12">
      <c r="D54" s="11" t="s">
        <v>18</v>
      </c>
      <c r="E54" t="s">
        <v>17</v>
      </c>
      <c r="G54" s="19">
        <v>30</v>
      </c>
      <c r="H54" s="19">
        <v>35</v>
      </c>
      <c r="I54" s="20">
        <f t="shared" ref="I54:I55" si="9">AVERAGE(F54:H54)</f>
        <v>32.5</v>
      </c>
      <c r="J54" s="20">
        <f t="shared" si="8"/>
        <v>32.5</v>
      </c>
      <c r="K54" s="20">
        <f t="shared" si="8"/>
        <v>33.333333333333336</v>
      </c>
    </row>
    <row r="55" spans="4:12">
      <c r="D55" s="11" t="s">
        <v>19</v>
      </c>
      <c r="E55" t="s">
        <v>17</v>
      </c>
      <c r="G55" s="19">
        <v>100</v>
      </c>
      <c r="H55" s="19">
        <v>125</v>
      </c>
      <c r="I55" s="20">
        <f t="shared" si="9"/>
        <v>112.5</v>
      </c>
      <c r="J55" s="20">
        <f t="shared" si="8"/>
        <v>112.5</v>
      </c>
      <c r="K55" s="20">
        <f t="shared" si="8"/>
        <v>116.66666666666667</v>
      </c>
    </row>
    <row r="59" spans="4:12">
      <c r="D59" s="195" t="s">
        <v>20</v>
      </c>
      <c r="E59" s="195"/>
      <c r="F59" s="195"/>
      <c r="G59" s="195"/>
      <c r="H59" s="195"/>
      <c r="I59" s="195"/>
      <c r="J59" s="195"/>
      <c r="K59" s="195"/>
    </row>
    <row r="60" spans="4:12">
      <c r="D60" s="195"/>
      <c r="E60" s="195"/>
      <c r="F60" s="195"/>
      <c r="G60" s="195"/>
      <c r="H60" s="195"/>
      <c r="I60" s="195"/>
      <c r="J60" s="195"/>
      <c r="K60" s="195"/>
    </row>
    <row r="61" spans="4:12">
      <c r="D61" s="195"/>
      <c r="E61" s="195"/>
      <c r="F61" s="195"/>
      <c r="G61" s="195"/>
      <c r="H61" s="195"/>
      <c r="I61" s="195"/>
      <c r="J61" s="195"/>
      <c r="K61" s="195"/>
      <c r="L61" s="15"/>
    </row>
    <row r="62" spans="4:12">
      <c r="H62" s="15"/>
      <c r="I62" s="15"/>
      <c r="J62" s="15"/>
      <c r="K62" s="15"/>
      <c r="L62" s="15"/>
    </row>
    <row r="63" spans="4:12">
      <c r="D63" s="11" t="s">
        <v>106</v>
      </c>
      <c r="G63" s="22" cm="1">
        <f t="array" ref="G63">_xlfn.IFS($C$4=1,G64,$C$4=2,G64,$C$4=3,G64,$C$4=4,G64)</f>
        <v>0.02</v>
      </c>
      <c r="H63" s="22" cm="1">
        <f t="array" ref="H63">_xlfn.IFS($C$4=1,H64,$C$4=2,H64,$C$4=3,H64,$C$4=4,H64)</f>
        <v>0.02</v>
      </c>
      <c r="I63" s="146">
        <f>AVERAGE(F63:H63)</f>
        <v>0.02</v>
      </c>
      <c r="J63" s="146">
        <f t="shared" ref="J63:K63" si="10">AVERAGE(G63:I63)</f>
        <v>0.02</v>
      </c>
      <c r="K63" s="146">
        <f t="shared" si="10"/>
        <v>0.02</v>
      </c>
      <c r="L63" s="19"/>
    </row>
    <row r="64" spans="4:12">
      <c r="G64" s="23">
        <v>0.02</v>
      </c>
      <c r="H64" s="23">
        <v>0.02</v>
      </c>
      <c r="I64" s="23">
        <v>2.5000000000000001E-2</v>
      </c>
      <c r="J64" s="23">
        <f>AVERAGE(G64:I64)</f>
        <v>2.1666666666666667E-2</v>
      </c>
      <c r="K64" s="23">
        <f>AVERAGE(H64:J64)</f>
        <v>2.2222222222222223E-2</v>
      </c>
    </row>
    <row r="65" spans="3:11">
      <c r="I65" s="16"/>
      <c r="J65" s="16"/>
      <c r="K65" s="16"/>
    </row>
    <row r="66" spans="3:11">
      <c r="D66" s="11" t="s">
        <v>21</v>
      </c>
      <c r="E66" t="s">
        <v>22</v>
      </c>
      <c r="G66" s="24">
        <v>-2500</v>
      </c>
      <c r="H66" s="24">
        <v>-2500</v>
      </c>
      <c r="I66" s="147">
        <f t="shared" ref="I66:I67" si="11">AVERAGE(F66:H66)</f>
        <v>-2500</v>
      </c>
      <c r="J66" s="147">
        <f t="shared" ref="J66:K67" si="12">AVERAGE(G66:I66)</f>
        <v>-2500</v>
      </c>
      <c r="K66" s="147">
        <f t="shared" si="12"/>
        <v>-2500</v>
      </c>
    </row>
    <row r="67" spans="3:11">
      <c r="D67" s="11" t="s">
        <v>23</v>
      </c>
      <c r="E67" t="s">
        <v>22</v>
      </c>
      <c r="G67" s="24">
        <v>-400</v>
      </c>
      <c r="H67" s="24">
        <v>-450</v>
      </c>
      <c r="I67" s="147">
        <f t="shared" si="11"/>
        <v>-425</v>
      </c>
      <c r="J67" s="147">
        <f t="shared" si="12"/>
        <v>-425</v>
      </c>
      <c r="K67" s="147">
        <f t="shared" si="12"/>
        <v>-433.33333333333331</v>
      </c>
    </row>
    <row r="69" spans="3:11">
      <c r="D69" s="11" t="s">
        <v>233</v>
      </c>
      <c r="G69" s="15">
        <v>2.5000000000000001E-2</v>
      </c>
      <c r="H69" s="16">
        <v>2.5000000000000001E-2</v>
      </c>
    </row>
    <row r="70" spans="3:11">
      <c r="D70" s="191" t="s">
        <v>24</v>
      </c>
      <c r="E70" s="191"/>
      <c r="F70" s="191"/>
      <c r="G70" s="191"/>
      <c r="H70" s="191"/>
      <c r="I70" s="191"/>
      <c r="J70" s="191"/>
      <c r="K70" s="191"/>
    </row>
    <row r="71" spans="3:11">
      <c r="C71" s="11"/>
      <c r="D71" s="191"/>
      <c r="E71" s="191"/>
      <c r="F71" s="191"/>
      <c r="G71" s="191"/>
      <c r="H71" s="191"/>
      <c r="I71" s="191"/>
      <c r="J71" s="191"/>
      <c r="K71" s="191"/>
    </row>
    <row r="73" spans="3:11">
      <c r="D73" s="11" t="s">
        <v>25</v>
      </c>
      <c r="G73" s="13">
        <v>0.5</v>
      </c>
    </row>
    <row r="74" spans="3:11">
      <c r="D74" s="11" t="s">
        <v>26</v>
      </c>
      <c r="E74" t="s">
        <v>27</v>
      </c>
      <c r="G74" s="19">
        <v>11</v>
      </c>
    </row>
    <row r="75" spans="3:11">
      <c r="D75" s="11" t="s">
        <v>28</v>
      </c>
      <c r="E75" t="s">
        <v>27</v>
      </c>
      <c r="G75" s="19">
        <v>20</v>
      </c>
    </row>
    <row r="77" spans="3:11">
      <c r="D77" s="191" t="s">
        <v>29</v>
      </c>
      <c r="E77" s="191"/>
      <c r="F77" s="191"/>
      <c r="G77" s="191"/>
      <c r="H77" s="191"/>
      <c r="I77" s="191"/>
      <c r="J77" s="191"/>
      <c r="K77" s="191"/>
    </row>
    <row r="78" spans="3:11">
      <c r="D78" s="191"/>
      <c r="E78" s="191"/>
      <c r="F78" s="191"/>
      <c r="G78" s="191"/>
      <c r="H78" s="191"/>
      <c r="I78" s="191"/>
      <c r="J78" s="191"/>
      <c r="K78" s="191"/>
    </row>
    <row r="80" spans="3:11">
      <c r="D80" s="11" t="s">
        <v>30</v>
      </c>
      <c r="G80" s="13">
        <v>0.2</v>
      </c>
    </row>
    <row r="81" spans="4:11">
      <c r="D81" s="11" t="s">
        <v>31</v>
      </c>
      <c r="G81" s="13">
        <v>0.5</v>
      </c>
    </row>
    <row r="82" spans="4:11">
      <c r="D82" s="11" t="s">
        <v>32</v>
      </c>
      <c r="G82" s="13">
        <v>0.25</v>
      </c>
    </row>
    <row r="83" spans="4:11">
      <c r="D83" s="11"/>
    </row>
    <row r="84" spans="4:11">
      <c r="D84" s="11"/>
    </row>
    <row r="85" spans="4:11">
      <c r="D85" s="11"/>
      <c r="G85" s="25"/>
    </row>
    <row r="87" spans="4:11">
      <c r="D87" s="11"/>
      <c r="F87" s="26"/>
    </row>
    <row r="88" spans="4:11">
      <c r="D88" s="191" t="s">
        <v>33</v>
      </c>
      <c r="E88" s="191"/>
      <c r="F88" s="191"/>
      <c r="G88" s="191"/>
      <c r="H88" s="191"/>
      <c r="I88" s="191"/>
      <c r="J88" s="191"/>
      <c r="K88" s="191"/>
    </row>
    <row r="89" spans="4:11">
      <c r="D89" s="191"/>
      <c r="E89" s="191"/>
      <c r="F89" s="191"/>
      <c r="G89" s="191"/>
      <c r="H89" s="191"/>
      <c r="I89" s="191"/>
      <c r="J89" s="191"/>
      <c r="K89" s="191"/>
    </row>
    <row r="91" spans="4:11">
      <c r="D91" s="11" t="s">
        <v>34</v>
      </c>
      <c r="F91" s="13">
        <v>0.05</v>
      </c>
    </row>
    <row r="92" spans="4:11">
      <c r="D92" s="11" t="s">
        <v>35</v>
      </c>
      <c r="F92" s="13">
        <v>0.1</v>
      </c>
    </row>
    <row r="93" spans="4:11">
      <c r="D93" s="11" t="s">
        <v>36</v>
      </c>
      <c r="F93" s="13">
        <v>0.15</v>
      </c>
    </row>
    <row r="94" spans="4:11">
      <c r="D94" s="11" t="s">
        <v>37</v>
      </c>
      <c r="F94" s="13">
        <v>0.1</v>
      </c>
    </row>
  </sheetData>
  <mergeCells count="8">
    <mergeCell ref="D77:K78"/>
    <mergeCell ref="D88:K89"/>
    <mergeCell ref="A1:X2"/>
    <mergeCell ref="A42:AJ44"/>
    <mergeCell ref="C45:C47"/>
    <mergeCell ref="D51:K51"/>
    <mergeCell ref="D59:K61"/>
    <mergeCell ref="D70:K7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Drop Down 1">
              <controlPr defaultSize="0" autoLine="0" autoPict="0">
                <anchor moveWithCells="1">
                  <from>
                    <xdr:col>2</xdr:col>
                    <xdr:colOff>22860</xdr:colOff>
                    <xdr:row>3</xdr:row>
                    <xdr:rowOff>15240</xdr:rowOff>
                  </from>
                  <to>
                    <xdr:col>3</xdr:col>
                    <xdr:colOff>22860</xdr:colOff>
                    <xdr:row>4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F0220-1FF3-451C-AA91-590B97E818C2}">
  <dimension ref="B2:AL79"/>
  <sheetViews>
    <sheetView zoomScale="35" zoomScaleNormal="27" workbookViewId="0">
      <selection sqref="A1:B1"/>
    </sheetView>
  </sheetViews>
  <sheetFormatPr defaultRowHeight="14.4"/>
  <cols>
    <col min="2" max="2" width="19.109375" bestFit="1" customWidth="1"/>
    <col min="4" max="4" width="10.109375" bestFit="1" customWidth="1"/>
    <col min="5" max="5" width="11" bestFit="1" customWidth="1"/>
    <col min="6" max="6" width="9" bestFit="1" customWidth="1"/>
    <col min="7" max="7" width="10.88671875" bestFit="1" customWidth="1"/>
    <col min="8" max="8" width="9" bestFit="1" customWidth="1"/>
    <col min="10" max="12" width="9" bestFit="1" customWidth="1"/>
    <col min="14" max="14" width="9" bestFit="1" customWidth="1"/>
    <col min="15" max="15" width="9.33203125" customWidth="1"/>
    <col min="16" max="16" width="12.109375" customWidth="1"/>
    <col min="19" max="19" width="12.109375" bestFit="1" customWidth="1"/>
    <col min="20" max="20" width="14.109375" bestFit="1" customWidth="1"/>
    <col min="22" max="22" width="16.109375" customWidth="1"/>
    <col min="23" max="23" width="17.6640625" customWidth="1"/>
    <col min="24" max="24" width="9.109375" bestFit="1" customWidth="1"/>
    <col min="25" max="25" width="10.109375" bestFit="1" customWidth="1"/>
    <col min="26" max="26" width="9" bestFit="1" customWidth="1"/>
    <col min="29" max="29" width="32.5546875" bestFit="1" customWidth="1"/>
    <col min="33" max="33" width="14.109375" bestFit="1" customWidth="1"/>
  </cols>
  <sheetData>
    <row r="2" spans="2:38" ht="14.4" customHeight="1">
      <c r="B2" s="249" t="s">
        <v>186</v>
      </c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249"/>
      <c r="S2" s="249"/>
      <c r="T2" s="249"/>
      <c r="U2" s="249"/>
      <c r="V2" s="249"/>
      <c r="W2" s="249"/>
      <c r="X2" s="249"/>
      <c r="Y2" s="249"/>
      <c r="Z2" s="249"/>
      <c r="AA2" s="249"/>
      <c r="AB2" s="249"/>
      <c r="AC2" s="249"/>
      <c r="AD2" s="249"/>
      <c r="AE2" s="249"/>
      <c r="AF2" s="249"/>
      <c r="AG2" s="249"/>
      <c r="AH2" s="249"/>
      <c r="AI2" s="249"/>
      <c r="AJ2" s="249"/>
      <c r="AK2" s="249"/>
    </row>
    <row r="3" spans="2:38" ht="14.4" customHeight="1"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S3" s="249"/>
      <c r="T3" s="249"/>
      <c r="U3" s="249"/>
      <c r="V3" s="249"/>
      <c r="W3" s="249"/>
      <c r="X3" s="249"/>
      <c r="Y3" s="249"/>
      <c r="Z3" s="249"/>
      <c r="AA3" s="249"/>
      <c r="AB3" s="249"/>
      <c r="AC3" s="249"/>
      <c r="AD3" s="249"/>
      <c r="AE3" s="249"/>
      <c r="AF3" s="249"/>
      <c r="AG3" s="249"/>
      <c r="AH3" s="249"/>
      <c r="AI3" s="249"/>
      <c r="AJ3" s="249"/>
      <c r="AK3" s="249"/>
    </row>
    <row r="4" spans="2:38" ht="14.4" customHeight="1">
      <c r="B4" s="249"/>
      <c r="C4" s="249"/>
      <c r="D4" s="249"/>
      <c r="E4" s="249"/>
      <c r="F4" s="249"/>
      <c r="G4" s="249"/>
      <c r="H4" s="249"/>
      <c r="I4" s="249"/>
      <c r="J4" s="249"/>
      <c r="K4" s="249"/>
      <c r="L4" s="249"/>
      <c r="M4" s="249"/>
      <c r="N4" s="249"/>
      <c r="O4" s="249"/>
      <c r="P4" s="249"/>
      <c r="Q4" s="249"/>
      <c r="R4" s="249"/>
      <c r="S4" s="249"/>
      <c r="T4" s="249"/>
      <c r="U4" s="249"/>
      <c r="V4" s="249"/>
      <c r="W4" s="249"/>
      <c r="X4" s="249"/>
      <c r="Y4" s="249"/>
      <c r="Z4" s="249"/>
      <c r="AA4" s="249"/>
      <c r="AB4" s="249"/>
      <c r="AC4" s="249"/>
      <c r="AD4" s="249"/>
      <c r="AE4" s="249"/>
      <c r="AF4" s="249"/>
      <c r="AG4" s="249"/>
      <c r="AH4" s="249"/>
      <c r="AI4" s="249"/>
      <c r="AJ4" s="249"/>
      <c r="AK4" s="249"/>
    </row>
    <row r="5" spans="2:38" ht="15" thickBot="1"/>
    <row r="6" spans="2:38" ht="14.4" customHeight="1">
      <c r="B6" s="218" t="s">
        <v>187</v>
      </c>
      <c r="C6" s="219"/>
      <c r="D6" s="219"/>
      <c r="E6" s="219"/>
      <c r="F6" s="219"/>
      <c r="G6" s="219"/>
      <c r="H6" s="219"/>
      <c r="I6" s="219"/>
      <c r="J6" s="219"/>
      <c r="K6" s="219"/>
      <c r="L6" s="219"/>
      <c r="M6" s="219"/>
      <c r="N6" s="220"/>
      <c r="O6" s="224" t="s">
        <v>188</v>
      </c>
      <c r="P6" s="224"/>
      <c r="Q6" s="224"/>
      <c r="R6" s="224"/>
      <c r="S6" s="224"/>
      <c r="T6" s="224"/>
      <c r="U6" s="224"/>
      <c r="V6" s="224"/>
      <c r="W6" s="224"/>
      <c r="X6" s="224"/>
      <c r="Y6" s="224"/>
      <c r="Z6" s="225"/>
      <c r="AB6" s="211" t="s">
        <v>215</v>
      </c>
      <c r="AC6" s="212"/>
      <c r="AD6" s="212"/>
      <c r="AE6" s="212"/>
      <c r="AF6" s="212"/>
      <c r="AG6" s="212"/>
      <c r="AH6" s="212"/>
      <c r="AI6" s="212"/>
      <c r="AJ6" s="212"/>
      <c r="AK6" s="212"/>
      <c r="AL6" s="213"/>
    </row>
    <row r="7" spans="2:38" ht="14.4" customHeight="1" thickBot="1">
      <c r="B7" s="221"/>
      <c r="C7" s="222"/>
      <c r="D7" s="222"/>
      <c r="E7" s="222"/>
      <c r="F7" s="222"/>
      <c r="G7" s="222"/>
      <c r="H7" s="222"/>
      <c r="I7" s="222"/>
      <c r="J7" s="222"/>
      <c r="K7" s="222"/>
      <c r="L7" s="222"/>
      <c r="M7" s="222"/>
      <c r="N7" s="223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226"/>
      <c r="Z7" s="227"/>
      <c r="AB7" s="214"/>
      <c r="AC7" s="215"/>
      <c r="AD7" s="215"/>
      <c r="AE7" s="215"/>
      <c r="AF7" s="215"/>
      <c r="AG7" s="215"/>
      <c r="AH7" s="215"/>
      <c r="AI7" s="215"/>
      <c r="AJ7" s="215"/>
      <c r="AK7" s="215"/>
      <c r="AL7" s="216"/>
    </row>
    <row r="8" spans="2:38" ht="15" thickBot="1">
      <c r="B8" s="228" t="s">
        <v>194</v>
      </c>
      <c r="C8" s="229"/>
      <c r="D8" s="229"/>
      <c r="E8" s="174"/>
      <c r="F8" s="174"/>
      <c r="G8" s="174"/>
      <c r="H8" s="174"/>
      <c r="I8" s="174"/>
      <c r="J8" s="174"/>
      <c r="K8" s="174"/>
      <c r="L8" s="174"/>
      <c r="M8" s="174"/>
      <c r="N8" s="175"/>
      <c r="O8" s="231" t="s">
        <v>194</v>
      </c>
      <c r="P8" s="231"/>
      <c r="Q8" s="231"/>
      <c r="R8" s="2"/>
      <c r="S8" s="2"/>
      <c r="T8" s="2"/>
      <c r="U8" s="2"/>
      <c r="V8" s="2"/>
      <c r="W8" s="2"/>
      <c r="X8" s="2"/>
      <c r="Y8" s="2"/>
      <c r="Z8" s="4"/>
      <c r="AB8" s="180" t="s">
        <v>216</v>
      </c>
      <c r="AC8" s="181"/>
      <c r="AD8" s="181"/>
      <c r="AE8" s="181"/>
      <c r="AF8" s="182"/>
      <c r="AG8" s="180" t="s">
        <v>217</v>
      </c>
      <c r="AH8" s="181"/>
      <c r="AI8" s="181"/>
      <c r="AJ8" s="181"/>
      <c r="AK8" s="181"/>
      <c r="AL8" s="182"/>
    </row>
    <row r="9" spans="2:38">
      <c r="B9" s="230"/>
      <c r="C9" s="231"/>
      <c r="D9" s="231"/>
      <c r="E9" s="122"/>
      <c r="F9" s="122"/>
      <c r="G9" s="122"/>
      <c r="H9" s="2"/>
      <c r="I9" s="2"/>
      <c r="J9" s="2"/>
      <c r="K9" s="2"/>
      <c r="L9" s="2"/>
      <c r="M9" s="2"/>
      <c r="N9" s="4"/>
      <c r="O9" s="231"/>
      <c r="P9" s="231"/>
      <c r="Q9" s="231"/>
      <c r="R9" s="2"/>
      <c r="S9" s="2"/>
      <c r="T9" s="2"/>
      <c r="U9" s="2"/>
      <c r="V9" s="2"/>
      <c r="W9" s="161"/>
      <c r="X9" s="162"/>
      <c r="Y9" s="197">
        <v>2025</v>
      </c>
      <c r="Z9" s="232">
        <v>2030</v>
      </c>
      <c r="AB9" s="183"/>
      <c r="AC9" s="184"/>
      <c r="AD9" s="184"/>
      <c r="AE9" s="184"/>
      <c r="AF9" s="185"/>
      <c r="AG9" s="183"/>
      <c r="AH9" s="184"/>
      <c r="AI9" s="184"/>
      <c r="AJ9" s="184"/>
      <c r="AK9" s="184"/>
      <c r="AL9" s="185"/>
    </row>
    <row r="10" spans="2:38">
      <c r="B10" s="123"/>
      <c r="C10" s="124"/>
      <c r="D10" s="160">
        <v>2025</v>
      </c>
      <c r="E10" s="160"/>
      <c r="F10" s="160">
        <v>2026</v>
      </c>
      <c r="G10" s="160"/>
      <c r="H10" s="160">
        <v>2027</v>
      </c>
      <c r="I10" s="160"/>
      <c r="J10" s="160">
        <v>2028</v>
      </c>
      <c r="K10" s="160"/>
      <c r="L10" s="160">
        <v>2029</v>
      </c>
      <c r="M10" s="160"/>
      <c r="N10" s="169">
        <v>2030</v>
      </c>
      <c r="O10" s="2"/>
      <c r="P10" s="2"/>
      <c r="Q10" s="2"/>
      <c r="R10" s="2"/>
      <c r="S10" s="2"/>
      <c r="T10" s="2"/>
      <c r="U10" s="2"/>
      <c r="V10" s="2"/>
      <c r="W10" s="3"/>
      <c r="X10" s="2"/>
      <c r="Y10" s="198"/>
      <c r="Z10" s="233"/>
      <c r="AB10" s="3"/>
      <c r="AC10" s="2"/>
      <c r="AD10" s="2"/>
      <c r="AE10" s="2"/>
      <c r="AF10" s="4"/>
      <c r="AG10" s="3"/>
      <c r="AH10" s="2"/>
      <c r="AI10" s="2"/>
      <c r="AJ10" s="2"/>
      <c r="AK10" s="2"/>
      <c r="AL10" s="4"/>
    </row>
    <row r="11" spans="2:38">
      <c r="B11" s="130" t="s">
        <v>41</v>
      </c>
      <c r="C11" s="8"/>
      <c r="D11" s="110">
        <f>Model!J9</f>
        <v>716924</v>
      </c>
      <c r="E11" s="164"/>
      <c r="F11" s="125">
        <f>Model!K9</f>
        <v>734847.09999999986</v>
      </c>
      <c r="G11" s="166"/>
      <c r="H11" s="125">
        <f>Model!L9</f>
        <v>756892.51300000004</v>
      </c>
      <c r="I11" s="125"/>
      <c r="J11" s="125">
        <f>Model!M9</f>
        <v>777707.05710750003</v>
      </c>
      <c r="K11" s="125"/>
      <c r="L11" s="125">
        <f>Model!N9</f>
        <v>799094.00117795635</v>
      </c>
      <c r="M11" s="125"/>
      <c r="N11" s="170">
        <f>Model!O9</f>
        <v>821734.99787799839</v>
      </c>
      <c r="O11" s="196" t="s">
        <v>195</v>
      </c>
      <c r="P11" s="196"/>
      <c r="Q11" s="196"/>
      <c r="R11" s="196" t="s">
        <v>204</v>
      </c>
      <c r="S11" s="196"/>
      <c r="T11" s="196">
        <v>2025</v>
      </c>
      <c r="U11" s="196"/>
      <c r="V11" s="122" t="s">
        <v>237</v>
      </c>
      <c r="W11" s="121" t="s">
        <v>213</v>
      </c>
      <c r="X11" s="126"/>
      <c r="Y11" s="110">
        <f>Model!J128</f>
        <v>411065</v>
      </c>
      <c r="Z11" s="138">
        <f>Model!O128</f>
        <v>845899.29985860141</v>
      </c>
      <c r="AB11" s="242" t="s">
        <v>218</v>
      </c>
      <c r="AC11" s="196"/>
      <c r="AD11" s="196"/>
      <c r="AE11" s="196"/>
      <c r="AF11" s="4"/>
      <c r="AG11" s="242" t="s">
        <v>219</v>
      </c>
      <c r="AH11" s="196"/>
      <c r="AI11" s="196"/>
      <c r="AJ11" s="196"/>
      <c r="AK11" s="196"/>
      <c r="AL11" s="4"/>
    </row>
    <row r="12" spans="2:38">
      <c r="B12" s="130"/>
      <c r="C12" s="8"/>
      <c r="D12" s="110"/>
      <c r="E12" s="164"/>
      <c r="F12" s="125"/>
      <c r="G12" s="166"/>
      <c r="H12" s="125"/>
      <c r="I12" s="125"/>
      <c r="J12" s="125"/>
      <c r="K12" s="125"/>
      <c r="L12" s="125"/>
      <c r="M12" s="125"/>
      <c r="N12" s="170"/>
      <c r="O12" s="2"/>
      <c r="P12" s="2"/>
      <c r="Q12" s="2"/>
      <c r="R12" s="2"/>
      <c r="S12" s="2"/>
      <c r="T12" s="2"/>
      <c r="U12" s="2"/>
      <c r="V12" s="2"/>
      <c r="W12" s="121"/>
      <c r="X12" s="126"/>
      <c r="Y12" s="110"/>
      <c r="Z12" s="138"/>
      <c r="AB12" s="3"/>
      <c r="AC12" s="2"/>
      <c r="AD12" s="2"/>
      <c r="AE12" s="122">
        <v>2025</v>
      </c>
      <c r="AF12" s="137">
        <v>2030</v>
      </c>
      <c r="AG12" s="3"/>
      <c r="AH12" s="2"/>
      <c r="AI12" s="2"/>
      <c r="AJ12" s="122">
        <v>2025</v>
      </c>
      <c r="AK12" s="122">
        <v>2030</v>
      </c>
      <c r="AL12" s="4"/>
    </row>
    <row r="13" spans="2:38">
      <c r="B13" s="129"/>
      <c r="C13" s="126"/>
      <c r="D13" s="110"/>
      <c r="E13" s="110"/>
      <c r="F13" s="125"/>
      <c r="G13" s="125"/>
      <c r="H13" s="125"/>
      <c r="I13" s="125"/>
      <c r="J13" s="125"/>
      <c r="K13" s="125"/>
      <c r="L13" s="125"/>
      <c r="M13" s="125"/>
      <c r="N13" s="170"/>
      <c r="O13" s="196" t="s">
        <v>196</v>
      </c>
      <c r="P13" s="196"/>
      <c r="Q13" s="2"/>
      <c r="R13" s="196" t="s">
        <v>205</v>
      </c>
      <c r="S13" s="196"/>
      <c r="T13" s="234">
        <f>AE19</f>
        <v>9.9000000000000005E-2</v>
      </c>
      <c r="U13" s="234"/>
      <c r="V13" s="141">
        <f>AF19</f>
        <v>0.10250000000000001</v>
      </c>
      <c r="W13" s="121" t="s">
        <v>214</v>
      </c>
      <c r="X13" s="126"/>
      <c r="Y13" s="110">
        <f>Model!J120</f>
        <v>65648</v>
      </c>
      <c r="Z13" s="138">
        <f>Model!O120</f>
        <v>63514.666666666664</v>
      </c>
      <c r="AB13" s="3" t="s">
        <v>225</v>
      </c>
      <c r="AC13" s="2"/>
      <c r="AD13" s="2"/>
      <c r="AE13" s="127">
        <v>0.05</v>
      </c>
      <c r="AF13" s="127">
        <v>0.05</v>
      </c>
      <c r="AG13" s="3" t="s">
        <v>220</v>
      </c>
      <c r="AH13" s="2"/>
      <c r="AI13" s="2"/>
      <c r="AJ13" s="103">
        <f>Y17</f>
        <v>2274</v>
      </c>
      <c r="AK13" s="103">
        <f>Z17</f>
        <v>2510.6797464768001</v>
      </c>
      <c r="AL13" s="4"/>
    </row>
    <row r="14" spans="2:38">
      <c r="B14" s="130"/>
      <c r="C14" s="8"/>
      <c r="D14" s="110"/>
      <c r="E14" s="110"/>
      <c r="F14" s="125"/>
      <c r="G14" s="125"/>
      <c r="H14" s="125"/>
      <c r="I14" s="125"/>
      <c r="J14" s="125"/>
      <c r="K14" s="125"/>
      <c r="L14" s="125"/>
      <c r="M14" s="125"/>
      <c r="N14" s="170"/>
      <c r="O14" s="122"/>
      <c r="P14" s="2"/>
      <c r="Q14" s="2"/>
      <c r="R14" s="122"/>
      <c r="S14" s="122"/>
      <c r="T14" s="2"/>
      <c r="U14" s="2"/>
      <c r="V14" s="2"/>
      <c r="W14" s="121"/>
      <c r="X14" s="126"/>
      <c r="Y14" s="110"/>
      <c r="Z14" s="138"/>
      <c r="AB14" s="3"/>
      <c r="AC14" s="2"/>
      <c r="AD14" s="2"/>
      <c r="AE14" s="126"/>
      <c r="AF14" s="126"/>
      <c r="AG14" s="3"/>
      <c r="AH14" s="2"/>
      <c r="AI14" s="2"/>
      <c r="AJ14" s="122"/>
      <c r="AK14" s="122"/>
      <c r="AL14" s="4"/>
    </row>
    <row r="15" spans="2:38">
      <c r="B15" s="130" t="s">
        <v>47</v>
      </c>
      <c r="C15" s="8"/>
      <c r="D15" s="110">
        <f>Model!J20</f>
        <v>79975</v>
      </c>
      <c r="E15" s="164"/>
      <c r="F15" s="125">
        <f>Model!K20</f>
        <v>85159.119999999864</v>
      </c>
      <c r="G15" s="125"/>
      <c r="H15" s="125">
        <f>Model!L20</f>
        <v>94210.773400000005</v>
      </c>
      <c r="I15" s="125"/>
      <c r="J15" s="125">
        <f>Model!M20</f>
        <v>101771.68271549998</v>
      </c>
      <c r="K15" s="125"/>
      <c r="L15" s="125">
        <f>Model!N20</f>
        <v>109639.91929811629</v>
      </c>
      <c r="M15" s="125"/>
      <c r="N15" s="170">
        <f>Model!O20</f>
        <v>118491.83436056154</v>
      </c>
      <c r="O15" s="196" t="s">
        <v>197</v>
      </c>
      <c r="P15" s="196"/>
      <c r="Q15" s="2"/>
      <c r="R15" s="196" t="s">
        <v>206</v>
      </c>
      <c r="S15" s="196"/>
      <c r="T15" s="217">
        <f>AJ25</f>
        <v>3.0763247118904893E-2</v>
      </c>
      <c r="U15" s="217"/>
      <c r="V15" s="141">
        <f>AK25</f>
        <v>3.15157975226436E-2</v>
      </c>
      <c r="W15" s="121" t="s">
        <v>30</v>
      </c>
      <c r="X15" s="127"/>
      <c r="Y15" s="128">
        <f>Input!G80</f>
        <v>0.2</v>
      </c>
      <c r="Z15" s="139">
        <f>Y15</f>
        <v>0.2</v>
      </c>
      <c r="AB15" s="3" t="s">
        <v>226</v>
      </c>
      <c r="AC15" s="2"/>
      <c r="AD15" s="2"/>
      <c r="AE15" s="171">
        <v>1.4</v>
      </c>
      <c r="AF15" s="171">
        <v>1.5</v>
      </c>
      <c r="AG15" s="3" t="s">
        <v>221</v>
      </c>
      <c r="AH15" s="2"/>
      <c r="AI15" s="2"/>
      <c r="AJ15" s="103">
        <f>AVERAGE(Model!I120:J120)</f>
        <v>59135.5</v>
      </c>
      <c r="AK15" s="103">
        <f>AVERAGE(Model!N120:O120)</f>
        <v>63731.333333333328</v>
      </c>
      <c r="AL15" s="4"/>
    </row>
    <row r="16" spans="2:38">
      <c r="B16" s="130"/>
      <c r="C16" s="8"/>
      <c r="D16" s="110"/>
      <c r="E16" s="164"/>
      <c r="F16" s="125"/>
      <c r="G16" s="166"/>
      <c r="H16" s="125"/>
      <c r="I16" s="125"/>
      <c r="J16" s="125"/>
      <c r="K16" s="125"/>
      <c r="L16" s="125"/>
      <c r="M16" s="125"/>
      <c r="N16" s="170"/>
      <c r="O16" s="122"/>
      <c r="P16" s="2"/>
      <c r="Q16" s="2"/>
      <c r="R16" s="122"/>
      <c r="S16" s="122"/>
      <c r="T16" s="2"/>
      <c r="U16" s="2"/>
      <c r="V16" s="2"/>
      <c r="W16" s="121"/>
      <c r="X16" s="2"/>
      <c r="Y16" s="110"/>
      <c r="Z16" s="138"/>
      <c r="AB16" s="3"/>
      <c r="AC16" s="2"/>
      <c r="AD16" s="2"/>
      <c r="AE16" s="126"/>
      <c r="AF16" s="126"/>
      <c r="AG16" s="3"/>
      <c r="AH16" s="2"/>
      <c r="AI16" s="2"/>
      <c r="AJ16" s="122"/>
      <c r="AK16" s="122"/>
      <c r="AL16" s="4"/>
    </row>
    <row r="17" spans="2:38">
      <c r="B17" s="129"/>
      <c r="C17" s="126"/>
      <c r="D17" s="110"/>
      <c r="E17" s="110"/>
      <c r="F17" s="125"/>
      <c r="G17" s="125"/>
      <c r="H17" s="125"/>
      <c r="I17" s="125"/>
      <c r="J17" s="125"/>
      <c r="K17" s="125"/>
      <c r="L17" s="125"/>
      <c r="M17" s="125"/>
      <c r="N17" s="170"/>
      <c r="O17" s="196" t="s">
        <v>198</v>
      </c>
      <c r="P17" s="196"/>
      <c r="Q17" s="2"/>
      <c r="R17" s="196" t="s">
        <v>207</v>
      </c>
      <c r="S17" s="196"/>
      <c r="T17" s="217">
        <f>Y15</f>
        <v>0.2</v>
      </c>
      <c r="U17" s="217"/>
      <c r="V17" s="91">
        <f>Z15</f>
        <v>0.2</v>
      </c>
      <c r="W17" s="121" t="s">
        <v>220</v>
      </c>
      <c r="X17" s="2"/>
      <c r="Y17" s="110">
        <f>-Model!J27</f>
        <v>2274</v>
      </c>
      <c r="Z17" s="138">
        <f>-Model!O27</f>
        <v>2510.6797464768001</v>
      </c>
      <c r="AB17" s="3" t="s">
        <v>227</v>
      </c>
      <c r="AC17" s="2"/>
      <c r="AD17" s="2"/>
      <c r="AE17" s="172">
        <v>3.5000000000000003E-2</v>
      </c>
      <c r="AF17" s="172">
        <v>3.5000000000000003E-2</v>
      </c>
      <c r="AG17" s="3" t="s">
        <v>219</v>
      </c>
      <c r="AH17" s="2"/>
      <c r="AI17" s="2"/>
      <c r="AJ17" s="131">
        <f>AJ13/AJ15</f>
        <v>3.8454058898631113E-2</v>
      </c>
      <c r="AK17" s="131">
        <f>AK13/AK15</f>
        <v>3.9394746903304502E-2</v>
      </c>
      <c r="AL17" s="4"/>
    </row>
    <row r="18" spans="2:38">
      <c r="B18" s="130" t="s">
        <v>193</v>
      </c>
      <c r="C18" s="8"/>
      <c r="D18" s="128">
        <f>Y15</f>
        <v>0.2</v>
      </c>
      <c r="E18" s="91"/>
      <c r="F18" s="91">
        <f>$Z$15</f>
        <v>0.2</v>
      </c>
      <c r="G18" s="91"/>
      <c r="H18" s="91">
        <f>$Z$15</f>
        <v>0.2</v>
      </c>
      <c r="I18" s="91"/>
      <c r="J18" s="91">
        <f>$Z$15</f>
        <v>0.2</v>
      </c>
      <c r="K18" s="91"/>
      <c r="L18" s="91">
        <f>$Z$15</f>
        <v>0.2</v>
      </c>
      <c r="M18" s="91"/>
      <c r="N18" s="176">
        <f>$Z$15</f>
        <v>0.2</v>
      </c>
      <c r="O18" s="122"/>
      <c r="P18" s="2"/>
      <c r="Q18" s="2"/>
      <c r="R18" s="122"/>
      <c r="S18" s="122"/>
      <c r="T18" s="2"/>
      <c r="U18" s="2"/>
      <c r="V18" s="2"/>
      <c r="W18" s="121"/>
      <c r="X18" s="2"/>
      <c r="Y18" s="110"/>
      <c r="Z18" s="138"/>
      <c r="AB18" s="3"/>
      <c r="AC18" s="2"/>
      <c r="AD18" s="2"/>
      <c r="AE18" s="126"/>
      <c r="AF18" s="126"/>
      <c r="AG18" s="3"/>
      <c r="AH18" s="2"/>
      <c r="AI18" s="2"/>
      <c r="AJ18" s="122"/>
      <c r="AK18" s="122"/>
      <c r="AL18" s="4"/>
    </row>
    <row r="19" spans="2:38">
      <c r="B19" s="130"/>
      <c r="C19" s="8"/>
      <c r="D19" s="110"/>
      <c r="E19" s="164"/>
      <c r="F19" s="125"/>
      <c r="G19" s="164"/>
      <c r="H19" s="125"/>
      <c r="I19" s="125"/>
      <c r="J19" s="125"/>
      <c r="K19" s="125"/>
      <c r="L19" s="125"/>
      <c r="M19" s="125"/>
      <c r="N19" s="170"/>
      <c r="O19" s="196" t="s">
        <v>199</v>
      </c>
      <c r="P19" s="196"/>
      <c r="Q19" s="2"/>
      <c r="R19" s="196" t="s">
        <v>208</v>
      </c>
      <c r="S19" s="196"/>
      <c r="T19" s="243">
        <f>Y11</f>
        <v>411065</v>
      </c>
      <c r="U19" s="243"/>
      <c r="V19" s="125">
        <f>Z11</f>
        <v>845899.29985860141</v>
      </c>
      <c r="W19" s="121" t="s">
        <v>222</v>
      </c>
      <c r="X19" s="2"/>
      <c r="Y19" s="110">
        <f>-Model!J32</f>
        <v>19087</v>
      </c>
      <c r="Z19" s="138">
        <f>-Model!O32</f>
        <v>21073.590290678403</v>
      </c>
      <c r="AB19" s="3" t="s">
        <v>218</v>
      </c>
      <c r="AC19" s="2"/>
      <c r="AD19" s="2"/>
      <c r="AE19" s="173">
        <f>AE13+(AE15*AE17)</f>
        <v>9.9000000000000005E-2</v>
      </c>
      <c r="AF19" s="173">
        <f>AF13+(AF15*AF17)</f>
        <v>0.10250000000000001</v>
      </c>
      <c r="AG19" s="3" t="s">
        <v>222</v>
      </c>
      <c r="AH19" s="2"/>
      <c r="AI19" s="2"/>
      <c r="AJ19" s="103">
        <f>Y19</f>
        <v>19087</v>
      </c>
      <c r="AK19" s="103">
        <f>Z19</f>
        <v>21073.590290678403</v>
      </c>
      <c r="AL19" s="4"/>
    </row>
    <row r="20" spans="2:38">
      <c r="B20" s="130"/>
      <c r="C20" s="8"/>
      <c r="D20" s="110"/>
      <c r="E20" s="125"/>
      <c r="F20" s="125"/>
      <c r="G20" s="125"/>
      <c r="H20" s="125"/>
      <c r="I20" s="125"/>
      <c r="J20" s="125"/>
      <c r="K20" s="125"/>
      <c r="L20" s="125"/>
      <c r="M20" s="125"/>
      <c r="N20" s="170"/>
      <c r="O20" s="122"/>
      <c r="P20" s="2"/>
      <c r="Q20" s="2"/>
      <c r="R20" s="122"/>
      <c r="S20" s="122"/>
      <c r="T20" s="2"/>
      <c r="U20" s="2"/>
      <c r="V20" s="2"/>
      <c r="W20" s="121"/>
      <c r="X20" s="2"/>
      <c r="Y20" s="110"/>
      <c r="Z20" s="138"/>
      <c r="AB20" s="3"/>
      <c r="AC20" s="2"/>
      <c r="AD20" s="2"/>
      <c r="AE20" s="2"/>
      <c r="AF20" s="4"/>
      <c r="AG20" s="3"/>
      <c r="AH20" s="2"/>
      <c r="AI20" s="2"/>
      <c r="AJ20" s="122"/>
      <c r="AK20" s="122"/>
      <c r="AL20" s="4"/>
    </row>
    <row r="21" spans="2:38">
      <c r="B21" s="130" t="s">
        <v>189</v>
      </c>
      <c r="C21" s="8"/>
      <c r="D21" s="110">
        <f>D15*(1-D18)</f>
        <v>63980</v>
      </c>
      <c r="E21" s="166"/>
      <c r="F21" s="125">
        <f>F15*(1-F18)</f>
        <v>68127.2959999999</v>
      </c>
      <c r="G21" s="166"/>
      <c r="H21" s="125">
        <f>H15*(1-H18)</f>
        <v>75368.618720000013</v>
      </c>
      <c r="I21" s="125"/>
      <c r="J21" s="125">
        <f>J15*(1-J18)</f>
        <v>81417.346172399994</v>
      </c>
      <c r="K21" s="125"/>
      <c r="L21" s="125">
        <f>L15*(1-L18)</f>
        <v>87711.935438493034</v>
      </c>
      <c r="M21" s="125"/>
      <c r="N21" s="170">
        <f>N15*(1-N18)</f>
        <v>94793.467488449242</v>
      </c>
      <c r="O21" s="196" t="s">
        <v>200</v>
      </c>
      <c r="P21" s="196"/>
      <c r="Q21" s="2"/>
      <c r="R21" s="196" t="s">
        <v>209</v>
      </c>
      <c r="S21" s="196"/>
      <c r="T21" s="243">
        <f>Y13</f>
        <v>65648</v>
      </c>
      <c r="U21" s="243"/>
      <c r="V21" s="125">
        <f>Z13</f>
        <v>63514.666666666664</v>
      </c>
      <c r="W21" s="121" t="s">
        <v>51</v>
      </c>
      <c r="X21" s="2"/>
      <c r="Y21" s="110">
        <f>Model!J31</f>
        <v>97311</v>
      </c>
      <c r="Z21" s="138">
        <f>Model!O31</f>
        <v>137632.17916483674</v>
      </c>
      <c r="AB21" s="3"/>
      <c r="AC21" s="2"/>
      <c r="AD21" s="2"/>
      <c r="AE21" s="2"/>
      <c r="AF21" s="4"/>
      <c r="AG21" s="3" t="s">
        <v>51</v>
      </c>
      <c r="AH21" s="2"/>
      <c r="AI21" s="2"/>
      <c r="AJ21" s="103">
        <f>Y21</f>
        <v>97311</v>
      </c>
      <c r="AK21" s="103">
        <f>Z21</f>
        <v>137632.17916483674</v>
      </c>
      <c r="AL21" s="4"/>
    </row>
    <row r="22" spans="2:38">
      <c r="B22" s="130"/>
      <c r="C22" s="8"/>
      <c r="D22" s="110"/>
      <c r="E22" s="166"/>
      <c r="F22" s="125"/>
      <c r="G22" s="166"/>
      <c r="H22" s="125"/>
      <c r="I22" s="125"/>
      <c r="J22" s="125"/>
      <c r="K22" s="125"/>
      <c r="L22" s="125"/>
      <c r="M22" s="125"/>
      <c r="N22" s="170"/>
      <c r="O22" s="122"/>
      <c r="P22" s="2"/>
      <c r="Q22" s="2"/>
      <c r="R22" s="122"/>
      <c r="S22" s="122"/>
      <c r="T22" s="2"/>
      <c r="U22" s="2"/>
      <c r="V22" s="2"/>
      <c r="W22" s="121"/>
      <c r="X22" s="2"/>
      <c r="Y22" s="110"/>
      <c r="Z22" s="138"/>
      <c r="AB22" s="3"/>
      <c r="AC22" s="2"/>
      <c r="AD22" s="2"/>
      <c r="AE22" s="2"/>
      <c r="AF22" s="4"/>
      <c r="AG22" s="3"/>
      <c r="AH22" s="2"/>
      <c r="AI22" s="2"/>
      <c r="AJ22" s="122"/>
      <c r="AK22" s="122"/>
      <c r="AL22" s="4"/>
    </row>
    <row r="23" spans="2:38">
      <c r="B23" s="129"/>
      <c r="C23" s="126"/>
      <c r="D23" s="110"/>
      <c r="E23" s="125"/>
      <c r="F23" s="125"/>
      <c r="G23" s="125"/>
      <c r="H23" s="125"/>
      <c r="I23" s="125"/>
      <c r="J23" s="125"/>
      <c r="K23" s="125"/>
      <c r="L23" s="125"/>
      <c r="M23" s="125"/>
      <c r="N23" s="170"/>
      <c r="O23" s="196" t="s">
        <v>201</v>
      </c>
      <c r="P23" s="196"/>
      <c r="Q23" s="196"/>
      <c r="R23" s="196" t="s">
        <v>210</v>
      </c>
      <c r="S23" s="196"/>
      <c r="T23" s="243">
        <f>T19+T21</f>
        <v>476713</v>
      </c>
      <c r="U23" s="243"/>
      <c r="V23" s="125">
        <f>V19+V21</f>
        <v>909413.96652526804</v>
      </c>
      <c r="W23" s="121" t="s">
        <v>223</v>
      </c>
      <c r="X23" s="2"/>
      <c r="Y23" s="128">
        <f>Input!G80</f>
        <v>0.2</v>
      </c>
      <c r="Z23" s="139">
        <f>Y23</f>
        <v>0.2</v>
      </c>
      <c r="AB23" s="3"/>
      <c r="AC23" s="2"/>
      <c r="AD23" s="2"/>
      <c r="AE23" s="2"/>
      <c r="AF23" s="4"/>
      <c r="AG23" s="3" t="s">
        <v>223</v>
      </c>
      <c r="AH23" s="2"/>
      <c r="AI23" s="2"/>
      <c r="AJ23" s="132">
        <f>Y23</f>
        <v>0.2</v>
      </c>
      <c r="AK23" s="132">
        <f>Z23</f>
        <v>0.2</v>
      </c>
      <c r="AL23" s="4"/>
    </row>
    <row r="24" spans="2:38">
      <c r="B24" s="130" t="s">
        <v>190</v>
      </c>
      <c r="C24" s="8"/>
      <c r="D24" s="110">
        <f>Model!J22</f>
        <v>65756</v>
      </c>
      <c r="E24" s="125"/>
      <c r="F24" s="125">
        <f>Model!K22</f>
        <v>32854.718181818178</v>
      </c>
      <c r="G24" s="125"/>
      <c r="H24" s="125">
        <f>Model!L22</f>
        <v>32979.718181818178</v>
      </c>
      <c r="I24" s="125"/>
      <c r="J24" s="125">
        <f>Model!M22</f>
        <v>33098.468181818178</v>
      </c>
      <c r="K24" s="125"/>
      <c r="L24" s="125">
        <f>Model!N22</f>
        <v>33218.780681818178</v>
      </c>
      <c r="M24" s="125"/>
      <c r="N24" s="170">
        <f>Model!O22</f>
        <v>33340.134848484849</v>
      </c>
      <c r="O24" s="122"/>
      <c r="P24" s="2"/>
      <c r="Q24" s="2"/>
      <c r="R24" s="122"/>
      <c r="S24" s="122"/>
      <c r="T24" s="2"/>
      <c r="U24" s="2"/>
      <c r="V24" s="2"/>
      <c r="W24" s="121"/>
      <c r="X24" s="2"/>
      <c r="Y24" s="2"/>
      <c r="Z24" s="4"/>
      <c r="AB24" s="3"/>
      <c r="AC24" s="2"/>
      <c r="AD24" s="2"/>
      <c r="AE24" s="2"/>
      <c r="AF24" s="4"/>
      <c r="AG24" s="3"/>
      <c r="AH24" s="2"/>
      <c r="AI24" s="2"/>
      <c r="AJ24" s="122"/>
      <c r="AK24" s="122"/>
      <c r="AL24" s="4"/>
    </row>
    <row r="25" spans="2:38">
      <c r="B25" s="130"/>
      <c r="C25" s="8"/>
      <c r="D25" s="110"/>
      <c r="E25" s="164"/>
      <c r="F25" s="125"/>
      <c r="G25" s="166"/>
      <c r="H25" s="125"/>
      <c r="I25" s="125"/>
      <c r="J25" s="125"/>
      <c r="K25" s="125"/>
      <c r="L25" s="125"/>
      <c r="M25" s="125"/>
      <c r="N25" s="170"/>
      <c r="O25" s="122"/>
      <c r="P25" s="2"/>
      <c r="Q25" s="2"/>
      <c r="R25" s="122"/>
      <c r="S25" s="122"/>
      <c r="T25" s="2"/>
      <c r="U25" s="2"/>
      <c r="V25" s="2"/>
      <c r="W25" s="121" t="s">
        <v>231</v>
      </c>
      <c r="X25" s="2"/>
      <c r="Y25" s="135">
        <f>Model!J93</f>
        <v>86810</v>
      </c>
      <c r="Z25" s="140">
        <f>Model!O93</f>
        <v>200778.37478766992</v>
      </c>
      <c r="AB25" s="3"/>
      <c r="AC25" s="2"/>
      <c r="AD25" s="2"/>
      <c r="AE25" s="2"/>
      <c r="AF25" s="4"/>
      <c r="AG25" s="3" t="s">
        <v>224</v>
      </c>
      <c r="AH25" s="2"/>
      <c r="AI25" s="2"/>
      <c r="AJ25" s="131">
        <f>AJ17*(1-AJ23)</f>
        <v>3.0763247118904893E-2</v>
      </c>
      <c r="AK25" s="131">
        <f>AK17*(1-AK23)</f>
        <v>3.15157975226436E-2</v>
      </c>
      <c r="AL25" s="4"/>
    </row>
    <row r="26" spans="2:38" ht="15" thickBot="1">
      <c r="B26" s="129"/>
      <c r="C26" s="126"/>
      <c r="D26" s="110"/>
      <c r="E26" s="110"/>
      <c r="F26" s="125"/>
      <c r="G26" s="125"/>
      <c r="H26" s="125"/>
      <c r="I26" s="125"/>
      <c r="J26" s="125"/>
      <c r="K26" s="125"/>
      <c r="L26" s="125"/>
      <c r="M26" s="125"/>
      <c r="N26" s="170"/>
      <c r="O26" s="196" t="s">
        <v>202</v>
      </c>
      <c r="P26" s="196"/>
      <c r="Q26" s="2"/>
      <c r="R26" s="196" t="s">
        <v>211</v>
      </c>
      <c r="S26" s="196"/>
      <c r="T26" s="244">
        <f>T19/T23</f>
        <v>0.8622903088441054</v>
      </c>
      <c r="U26" s="244"/>
      <c r="V26" s="91">
        <f>V19/V23</f>
        <v>0.93015868569805837</v>
      </c>
      <c r="W26" s="3"/>
      <c r="X26" s="2"/>
      <c r="Y26" s="2"/>
      <c r="Z26" s="4"/>
      <c r="AB26" s="5"/>
      <c r="AC26" s="6"/>
      <c r="AD26" s="6"/>
      <c r="AE26" s="6"/>
      <c r="AF26" s="7"/>
      <c r="AG26" s="5"/>
      <c r="AH26" s="6"/>
      <c r="AI26" s="6"/>
      <c r="AJ26" s="6"/>
      <c r="AK26" s="6"/>
      <c r="AL26" s="7"/>
    </row>
    <row r="27" spans="2:38">
      <c r="B27" s="130" t="s">
        <v>191</v>
      </c>
      <c r="C27" s="8"/>
      <c r="D27" s="110">
        <f>Model!J60</f>
        <v>-128320</v>
      </c>
      <c r="E27" s="125"/>
      <c r="F27" s="125">
        <f>Model!K60</f>
        <v>-95000</v>
      </c>
      <c r="G27" s="125"/>
      <c r="H27" s="125">
        <f>Model!L60</f>
        <v>-97500</v>
      </c>
      <c r="I27" s="125"/>
      <c r="J27" s="125">
        <f>Model!M60</f>
        <v>-96250</v>
      </c>
      <c r="K27" s="125"/>
      <c r="L27" s="125">
        <f>Model!N60</f>
        <v>-96250</v>
      </c>
      <c r="M27" s="125"/>
      <c r="N27" s="170">
        <f>Model!O60</f>
        <v>-96666.666666666672</v>
      </c>
      <c r="O27" s="122"/>
      <c r="P27" s="2"/>
      <c r="Q27" s="2"/>
      <c r="R27" s="122"/>
      <c r="S27" s="122"/>
      <c r="T27" s="2"/>
      <c r="U27" s="2"/>
      <c r="V27" s="91"/>
      <c r="W27" s="121" t="s">
        <v>239</v>
      </c>
      <c r="X27" s="2"/>
      <c r="Y27" s="126">
        <v>0</v>
      </c>
      <c r="Z27" s="163">
        <v>6</v>
      </c>
    </row>
    <row r="28" spans="2:38">
      <c r="B28" s="130"/>
      <c r="C28" s="8"/>
      <c r="D28" s="125"/>
      <c r="E28" s="164"/>
      <c r="F28" s="125"/>
      <c r="G28" s="166"/>
      <c r="H28" s="125"/>
      <c r="I28" s="125"/>
      <c r="J28" s="125"/>
      <c r="K28" s="125"/>
      <c r="L28" s="125"/>
      <c r="M28" s="125"/>
      <c r="N28" s="170"/>
      <c r="O28" s="196" t="s">
        <v>203</v>
      </c>
      <c r="P28" s="196"/>
      <c r="Q28" s="2"/>
      <c r="R28" s="196" t="s">
        <v>212</v>
      </c>
      <c r="S28" s="196"/>
      <c r="T28" s="244">
        <f>T21/T23</f>
        <v>0.13770969115589463</v>
      </c>
      <c r="U28" s="244"/>
      <c r="V28" s="91">
        <f>V21/V23</f>
        <v>6.9841314301941626E-2</v>
      </c>
      <c r="W28" s="3"/>
      <c r="X28" s="2"/>
      <c r="Y28" s="2"/>
      <c r="Z28" s="4"/>
    </row>
    <row r="29" spans="2:38">
      <c r="B29" s="129"/>
      <c r="C29" s="126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70"/>
      <c r="O29" s="122"/>
      <c r="P29" s="2"/>
      <c r="Q29" s="2"/>
      <c r="R29" s="122"/>
      <c r="S29" s="122"/>
      <c r="T29" s="2"/>
      <c r="U29" s="2"/>
      <c r="V29" s="2"/>
      <c r="W29" s="3"/>
      <c r="X29" s="2"/>
      <c r="Y29" s="2"/>
      <c r="Z29" s="4"/>
    </row>
    <row r="30" spans="2:38">
      <c r="B30" s="130" t="s">
        <v>192</v>
      </c>
      <c r="C30" s="8"/>
      <c r="D30" s="125">
        <f>Model!J204</f>
        <v>-11156.999999999993</v>
      </c>
      <c r="E30" s="125"/>
      <c r="F30" s="125">
        <f>Model!K204</f>
        <v>10559.513972602716</v>
      </c>
      <c r="G30" s="125"/>
      <c r="H30" s="125">
        <f>Model!L204</f>
        <v>-13559.153284931494</v>
      </c>
      <c r="I30" s="125"/>
      <c r="J30" s="125">
        <f>Model!M204</f>
        <v>7333.6403099760282</v>
      </c>
      <c r="K30" s="125"/>
      <c r="L30" s="125">
        <f>Model!N204</f>
        <v>304.91946679748798</v>
      </c>
      <c r="M30" s="125"/>
      <c r="N30" s="170">
        <f>Model!O204</f>
        <v>-2081.175317755602</v>
      </c>
      <c r="O30" s="122"/>
      <c r="P30" s="2"/>
      <c r="Q30" s="2"/>
      <c r="R30" s="122"/>
      <c r="S30" s="122"/>
      <c r="T30" s="2"/>
      <c r="U30" s="2"/>
      <c r="V30" s="2"/>
      <c r="W30" s="3"/>
      <c r="X30" s="2"/>
      <c r="Y30" s="2"/>
      <c r="Z30" s="4"/>
    </row>
    <row r="31" spans="2:38">
      <c r="B31" s="130"/>
      <c r="C31" s="8"/>
      <c r="D31" s="125"/>
      <c r="E31" s="164"/>
      <c r="F31" s="125"/>
      <c r="G31" s="166"/>
      <c r="H31" s="125"/>
      <c r="I31" s="125"/>
      <c r="J31" s="125"/>
      <c r="K31" s="125"/>
      <c r="L31" s="125"/>
      <c r="M31" s="125"/>
      <c r="N31" s="170"/>
      <c r="O31" s="196" t="s">
        <v>188</v>
      </c>
      <c r="P31" s="196"/>
      <c r="Q31" s="2"/>
      <c r="R31" s="196" t="s">
        <v>188</v>
      </c>
      <c r="S31" s="196"/>
      <c r="T31" s="245">
        <f>(T26*T13)+(T28*T15)</f>
        <v>8.9603137835263302E-2</v>
      </c>
      <c r="U31" s="245"/>
      <c r="V31" s="178">
        <f>(V26*V13)+(V28*V15)</f>
        <v>9.7542370004306295E-2</v>
      </c>
      <c r="W31" s="3"/>
      <c r="X31" s="2"/>
      <c r="Y31" s="2"/>
      <c r="Z31" s="4"/>
    </row>
    <row r="32" spans="2:38">
      <c r="B32" s="3"/>
      <c r="C32" s="2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70"/>
      <c r="O32" s="2"/>
      <c r="P32" s="2"/>
      <c r="Q32" s="2"/>
      <c r="R32" s="2"/>
      <c r="S32" s="2"/>
      <c r="T32" s="2"/>
      <c r="U32" s="2"/>
      <c r="V32" s="2"/>
      <c r="W32" s="3"/>
      <c r="X32" s="2"/>
      <c r="Y32" s="2"/>
      <c r="Z32" s="4"/>
    </row>
    <row r="33" spans="2:26">
      <c r="B33" s="142" t="s">
        <v>187</v>
      </c>
      <c r="C33" s="9"/>
      <c r="D33" s="125">
        <f>D21+D24+D27-D30</f>
        <v>12572.999999999993</v>
      </c>
      <c r="E33" s="165"/>
      <c r="F33" s="125">
        <f>F21+F24+F27-F30</f>
        <v>-4577.49979078463</v>
      </c>
      <c r="G33" s="165"/>
      <c r="H33" s="125">
        <f>H21+H24+H27-H30</f>
        <v>24407.490186749692</v>
      </c>
      <c r="I33" s="125"/>
      <c r="J33" s="125">
        <f>J21+J24+J27-J30</f>
        <v>10932.174044242136</v>
      </c>
      <c r="K33" s="125"/>
      <c r="L33" s="125">
        <f>L21+L24+L27-L30</f>
        <v>24375.796653513717</v>
      </c>
      <c r="M33" s="125"/>
      <c r="N33" s="170">
        <f>N21+N24+N27-N30</f>
        <v>33548.110988023029</v>
      </c>
      <c r="O33" s="2"/>
      <c r="P33" s="2"/>
      <c r="Q33" s="2"/>
      <c r="R33" s="2"/>
      <c r="S33" s="2"/>
      <c r="T33" s="2"/>
      <c r="U33" s="2"/>
      <c r="V33" s="2"/>
      <c r="W33" s="3"/>
      <c r="X33" s="2"/>
      <c r="Y33" s="2"/>
      <c r="Z33" s="4"/>
    </row>
    <row r="34" spans="2:26">
      <c r="B34" s="142"/>
      <c r="C34" s="9"/>
      <c r="D34" s="125"/>
      <c r="E34" s="165"/>
      <c r="F34" s="125"/>
      <c r="G34" s="165"/>
      <c r="H34" s="125"/>
      <c r="I34" s="125"/>
      <c r="J34" s="125"/>
      <c r="K34" s="125"/>
      <c r="L34" s="125"/>
      <c r="M34" s="125"/>
      <c r="N34" s="170"/>
      <c r="O34" s="2"/>
      <c r="P34" s="2"/>
      <c r="Q34" s="2"/>
      <c r="R34" s="2"/>
      <c r="S34" s="2"/>
      <c r="T34" s="2"/>
      <c r="U34" s="2"/>
      <c r="V34" s="2"/>
      <c r="W34" s="3"/>
      <c r="X34" s="2"/>
      <c r="Y34" s="2"/>
      <c r="Z34" s="4"/>
    </row>
    <row r="35" spans="2:26">
      <c r="B35" s="121" t="s">
        <v>240</v>
      </c>
      <c r="C35" s="2"/>
      <c r="D35" s="125">
        <v>0</v>
      </c>
      <c r="E35" s="125"/>
      <c r="F35" s="125">
        <v>1</v>
      </c>
      <c r="G35" s="125"/>
      <c r="H35" s="125">
        <f>F35+1</f>
        <v>2</v>
      </c>
      <c r="I35" s="125"/>
      <c r="J35" s="125">
        <f>H35+1</f>
        <v>3</v>
      </c>
      <c r="K35" s="125"/>
      <c r="L35" s="125">
        <f>J35+1</f>
        <v>4</v>
      </c>
      <c r="M35" s="125"/>
      <c r="N35" s="170">
        <f>L35+1</f>
        <v>5</v>
      </c>
      <c r="O35" s="2"/>
      <c r="P35" s="2"/>
      <c r="Q35" s="2"/>
      <c r="R35" s="2"/>
      <c r="S35" s="2"/>
      <c r="T35" s="2"/>
      <c r="U35" s="2"/>
      <c r="V35" s="2"/>
      <c r="W35" s="3"/>
      <c r="X35" s="2"/>
      <c r="Y35" s="2"/>
      <c r="Z35" s="4"/>
    </row>
    <row r="36" spans="2:26" ht="15" thickBot="1">
      <c r="B36" s="3"/>
      <c r="C36" s="2"/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70"/>
      <c r="O36" s="6"/>
      <c r="P36" s="6"/>
      <c r="Q36" s="6"/>
      <c r="R36" s="6"/>
      <c r="S36" s="6"/>
      <c r="T36" s="6"/>
      <c r="U36" s="6"/>
      <c r="V36" s="6"/>
      <c r="W36" s="5"/>
      <c r="X36" s="6"/>
      <c r="Y36" s="6"/>
      <c r="Z36" s="7"/>
    </row>
    <row r="37" spans="2:26">
      <c r="B37" s="167" t="s">
        <v>238</v>
      </c>
      <c r="C37" s="168"/>
      <c r="D37" s="103">
        <f>D33/(1+T31)^D35</f>
        <v>12572.999999999993</v>
      </c>
      <c r="E37" s="165"/>
      <c r="F37" s="103">
        <f>F33/(1+$V$31)^F35</f>
        <v>-4170.6816209443195</v>
      </c>
      <c r="G37" s="165"/>
      <c r="H37" s="103">
        <f>H33/(1+$V$31)^H35</f>
        <v>20261.917070445215</v>
      </c>
      <c r="I37" s="103"/>
      <c r="J37" s="103">
        <f>J33/(1+$V$31)^J35</f>
        <v>8268.8031370994013</v>
      </c>
      <c r="K37" s="103"/>
      <c r="L37" s="103">
        <f>L33/(1+$V$31)^L35</f>
        <v>16798.621256517356</v>
      </c>
      <c r="M37" s="103"/>
      <c r="N37" s="177">
        <f>N33/(1+$V$31)^N35</f>
        <v>21065.006451754474</v>
      </c>
    </row>
    <row r="38" spans="2:26">
      <c r="B38" s="167"/>
      <c r="C38" s="168"/>
      <c r="D38" s="2"/>
      <c r="E38" s="165"/>
      <c r="F38" s="122"/>
      <c r="G38" s="165"/>
      <c r="H38" s="2"/>
      <c r="I38" s="2"/>
      <c r="J38" s="2"/>
      <c r="K38" s="2"/>
      <c r="L38" s="2"/>
      <c r="M38" s="2"/>
      <c r="N38" s="4"/>
    </row>
    <row r="39" spans="2:26">
      <c r="B39" s="3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4"/>
    </row>
    <row r="40" spans="2:26" ht="15" thickBot="1"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7"/>
    </row>
    <row r="46" spans="2:26" ht="15" thickBot="1"/>
    <row r="47" spans="2:26" ht="15" thickBot="1">
      <c r="B47" s="199" t="s">
        <v>232</v>
      </c>
      <c r="C47" s="200"/>
      <c r="D47" s="200"/>
      <c r="E47" s="200"/>
      <c r="F47" s="200"/>
      <c r="G47" s="200"/>
      <c r="H47" s="201"/>
      <c r="I47" s="205" t="s">
        <v>229</v>
      </c>
      <c r="J47" s="206"/>
      <c r="K47" s="206"/>
      <c r="L47" s="206"/>
      <c r="M47" s="207"/>
    </row>
    <row r="48" spans="2:26" ht="15" thickBot="1">
      <c r="B48" s="202"/>
      <c r="C48" s="203"/>
      <c r="D48" s="203"/>
      <c r="E48" s="203"/>
      <c r="F48" s="203"/>
      <c r="G48" s="203"/>
      <c r="H48" s="204"/>
      <c r="I48" s="208"/>
      <c r="J48" s="209"/>
      <c r="K48" s="209"/>
      <c r="L48" s="209"/>
      <c r="M48" s="210"/>
      <c r="P48" s="235" t="s">
        <v>241</v>
      </c>
      <c r="Q48" s="236"/>
      <c r="R48" s="236"/>
      <c r="S48" s="236"/>
      <c r="T48" s="236"/>
      <c r="U48" s="236"/>
      <c r="V48" s="236"/>
      <c r="W48" s="236"/>
      <c r="X48" s="236"/>
      <c r="Y48" s="237"/>
    </row>
    <row r="49" spans="2:25" ht="15" thickBot="1">
      <c r="B49" s="3"/>
      <c r="C49" s="2"/>
      <c r="D49" s="2"/>
      <c r="E49" s="2"/>
      <c r="F49" s="197">
        <v>2025</v>
      </c>
      <c r="G49" s="197">
        <v>2030</v>
      </c>
      <c r="H49" s="4"/>
      <c r="I49" s="3"/>
      <c r="J49" s="2"/>
      <c r="K49" s="197">
        <v>2025</v>
      </c>
      <c r="L49" s="197">
        <v>2030</v>
      </c>
      <c r="M49" s="4"/>
      <c r="P49" s="238"/>
      <c r="Q49" s="239"/>
      <c r="R49" s="239"/>
      <c r="S49" s="239"/>
      <c r="T49" s="239"/>
      <c r="U49" s="239"/>
      <c r="V49" s="239"/>
      <c r="W49" s="239"/>
      <c r="X49" s="239"/>
      <c r="Y49" s="240"/>
    </row>
    <row r="50" spans="2:25">
      <c r="B50" s="3"/>
      <c r="C50" s="2"/>
      <c r="D50" s="2"/>
      <c r="E50" s="2"/>
      <c r="F50" s="198"/>
      <c r="G50" s="198"/>
      <c r="H50" s="4"/>
      <c r="I50" s="3"/>
      <c r="J50" s="2"/>
      <c r="K50" s="198"/>
      <c r="L50" s="198"/>
      <c r="M50" s="4"/>
      <c r="P50" s="3"/>
      <c r="Q50" s="248" t="s">
        <v>245</v>
      </c>
      <c r="R50" s="2"/>
      <c r="S50" s="2"/>
      <c r="T50" s="2"/>
      <c r="U50" s="241">
        <v>2026</v>
      </c>
      <c r="V50" s="2"/>
      <c r="W50" s="2"/>
      <c r="X50" s="2"/>
      <c r="Y50" s="4"/>
    </row>
    <row r="51" spans="2:25">
      <c r="B51" s="123"/>
      <c r="C51" s="124" t="s">
        <v>234</v>
      </c>
      <c r="D51" s="2"/>
      <c r="E51" s="2"/>
      <c r="F51" s="143">
        <f>Input!G69</f>
        <v>2.5000000000000001E-2</v>
      </c>
      <c r="G51" s="143">
        <f>Input!H69</f>
        <v>2.5000000000000001E-2</v>
      </c>
      <c r="H51" s="4"/>
      <c r="I51" s="3" t="s">
        <v>96</v>
      </c>
      <c r="J51" s="2"/>
      <c r="K51" s="125">
        <f>Y11</f>
        <v>411065</v>
      </c>
      <c r="L51" s="125">
        <f>Z11</f>
        <v>845899.29985860141</v>
      </c>
      <c r="M51" s="4"/>
      <c r="P51" s="3"/>
      <c r="Q51" s="248"/>
      <c r="R51" s="2"/>
      <c r="S51" s="2"/>
      <c r="T51" s="2"/>
      <c r="U51" s="241"/>
      <c r="V51" s="2"/>
      <c r="W51" s="2"/>
      <c r="X51" s="2"/>
      <c r="Y51" s="4"/>
    </row>
    <row r="52" spans="2:25">
      <c r="B52" s="142"/>
      <c r="C52" s="9"/>
      <c r="D52" s="2"/>
      <c r="E52" s="2"/>
      <c r="F52" s="2"/>
      <c r="G52" s="2"/>
      <c r="H52" s="4"/>
      <c r="I52" s="3"/>
      <c r="J52" s="2"/>
      <c r="K52" s="2"/>
      <c r="L52" s="2"/>
      <c r="M52" s="4"/>
      <c r="P52" s="3"/>
      <c r="Q52" s="2"/>
      <c r="R52" s="2"/>
      <c r="S52" s="2"/>
      <c r="T52" s="2"/>
      <c r="U52" s="2"/>
      <c r="V52" s="2"/>
      <c r="W52" s="2"/>
      <c r="X52" s="2"/>
      <c r="Y52" s="4"/>
    </row>
    <row r="53" spans="2:25">
      <c r="B53" s="133"/>
      <c r="C53" s="134" t="s">
        <v>188</v>
      </c>
      <c r="D53" s="2"/>
      <c r="E53" s="2"/>
      <c r="F53" s="91">
        <f>T31</f>
        <v>8.9603137835263302E-2</v>
      </c>
      <c r="G53" s="91">
        <f>$T$31</f>
        <v>8.9603137835263302E-2</v>
      </c>
      <c r="H53" s="4"/>
      <c r="I53" s="3" t="s">
        <v>230</v>
      </c>
      <c r="J53" s="2"/>
      <c r="K53" s="125">
        <f>Y13</f>
        <v>65648</v>
      </c>
      <c r="L53" s="125">
        <f>Z13</f>
        <v>63514.666666666664</v>
      </c>
      <c r="M53" s="4"/>
      <c r="P53" s="3"/>
      <c r="Q53" s="2"/>
      <c r="R53" s="2"/>
      <c r="S53" s="2"/>
      <c r="T53" s="2"/>
      <c r="U53" s="2"/>
      <c r="V53" s="2"/>
      <c r="W53" s="2"/>
      <c r="X53" s="2"/>
      <c r="Y53" s="4"/>
    </row>
    <row r="54" spans="2:25">
      <c r="B54" s="123"/>
      <c r="C54" s="124"/>
      <c r="D54" s="2"/>
      <c r="E54" s="2"/>
      <c r="F54" s="2"/>
      <c r="G54" s="2"/>
      <c r="H54" s="4"/>
      <c r="I54" s="3"/>
      <c r="J54" s="2"/>
      <c r="K54" s="2"/>
      <c r="L54" s="2"/>
      <c r="M54" s="4"/>
      <c r="P54" s="3"/>
      <c r="Q54" s="122" t="s">
        <v>242</v>
      </c>
      <c r="R54" s="2"/>
      <c r="S54" s="2"/>
      <c r="T54" s="2"/>
      <c r="U54" s="136">
        <f>SUM(F37:N37)</f>
        <v>62223.666294872128</v>
      </c>
      <c r="V54" s="2"/>
      <c r="W54" s="2"/>
      <c r="X54" s="2"/>
      <c r="Y54" s="4"/>
    </row>
    <row r="55" spans="2:25">
      <c r="B55" s="133"/>
      <c r="C55" s="134" t="s">
        <v>187</v>
      </c>
      <c r="D55" s="2"/>
      <c r="E55" s="2"/>
      <c r="F55" s="136">
        <f>D33</f>
        <v>12572.999999999993</v>
      </c>
      <c r="G55" s="136">
        <f>N33</f>
        <v>33548.110988023029</v>
      </c>
      <c r="H55" s="4"/>
      <c r="I55" s="3" t="s">
        <v>231</v>
      </c>
      <c r="J55" s="2"/>
      <c r="K55" s="136">
        <f>Y25</f>
        <v>86810</v>
      </c>
      <c r="L55" s="136">
        <f>Z25</f>
        <v>200778.37478766992</v>
      </c>
      <c r="M55" s="4"/>
      <c r="P55" s="3"/>
      <c r="Q55" s="122"/>
      <c r="R55" s="2"/>
      <c r="S55" s="2"/>
      <c r="T55" s="2"/>
      <c r="U55" s="136"/>
      <c r="V55" s="2"/>
      <c r="W55" s="2"/>
      <c r="X55" s="2"/>
      <c r="Y55" s="4"/>
    </row>
    <row r="56" spans="2:25">
      <c r="B56" s="123"/>
      <c r="C56" s="124"/>
      <c r="D56" s="2"/>
      <c r="E56" s="2"/>
      <c r="F56" s="2"/>
      <c r="G56" s="2"/>
      <c r="H56" s="4"/>
      <c r="I56" s="3"/>
      <c r="J56" s="2"/>
      <c r="K56" s="2"/>
      <c r="L56" s="2"/>
      <c r="M56" s="4"/>
      <c r="P56" s="3"/>
      <c r="Q56" s="122" t="s">
        <v>247</v>
      </c>
      <c r="R56" s="2"/>
      <c r="S56" s="2"/>
      <c r="T56" s="2"/>
      <c r="U56" s="136">
        <f>N33</f>
        <v>33548.110988023029</v>
      </c>
      <c r="V56" s="2"/>
      <c r="W56" s="2"/>
      <c r="X56" s="2"/>
      <c r="Y56" s="4"/>
    </row>
    <row r="57" spans="2:25">
      <c r="B57" s="123"/>
      <c r="C57" s="124"/>
      <c r="D57" s="2"/>
      <c r="E57" s="2"/>
      <c r="F57" s="103"/>
      <c r="G57" s="103"/>
      <c r="H57" s="4"/>
      <c r="I57" s="121" t="s">
        <v>211</v>
      </c>
      <c r="J57" s="2"/>
      <c r="K57" s="103">
        <f>K51+K53-K55/F58</f>
        <v>476712.5648283569</v>
      </c>
      <c r="L57" s="103">
        <f>L51+L53-L55/G58</f>
        <v>909413.58931925206</v>
      </c>
      <c r="M57" s="4"/>
      <c r="P57" s="3"/>
      <c r="Q57" s="122"/>
      <c r="R57" s="2"/>
      <c r="S57" s="2"/>
      <c r="T57" s="2"/>
      <c r="U57" s="136"/>
      <c r="V57" s="2"/>
      <c r="W57" s="2"/>
      <c r="X57" s="2"/>
      <c r="Y57" s="4"/>
    </row>
    <row r="58" spans="2:25">
      <c r="B58" s="142"/>
      <c r="C58" s="124" t="s">
        <v>232</v>
      </c>
      <c r="D58" s="2"/>
      <c r="E58" s="2"/>
      <c r="F58" s="247">
        <f>F55*(1+F51)/(F53-F51)</f>
        <v>199484.50542545487</v>
      </c>
      <c r="G58" s="247">
        <f>G55*(1+G51)/(G53-G51)</f>
        <v>532277.7641298055</v>
      </c>
      <c r="H58" s="4"/>
      <c r="I58" s="3"/>
      <c r="J58" s="2"/>
      <c r="K58" s="2"/>
      <c r="L58" s="2"/>
      <c r="M58" s="4"/>
      <c r="P58" s="3"/>
      <c r="Q58" s="122" t="s">
        <v>243</v>
      </c>
      <c r="R58" s="2"/>
      <c r="S58" s="2"/>
      <c r="T58" s="2"/>
      <c r="U58" s="136">
        <f>G58</f>
        <v>532277.7641298055</v>
      </c>
      <c r="V58" s="2"/>
      <c r="W58" s="2"/>
      <c r="X58" s="2"/>
      <c r="Y58" s="4"/>
    </row>
    <row r="59" spans="2:25">
      <c r="B59" s="3"/>
      <c r="C59" s="2"/>
      <c r="D59" s="2"/>
      <c r="E59" s="2"/>
      <c r="F59" s="2"/>
      <c r="G59" s="2"/>
      <c r="H59" s="4"/>
      <c r="I59" s="3"/>
      <c r="J59" s="2"/>
      <c r="K59" s="2"/>
      <c r="L59" s="2"/>
      <c r="M59" s="4"/>
      <c r="P59" s="3"/>
      <c r="Q59" s="122"/>
      <c r="R59" s="2"/>
      <c r="S59" s="2"/>
      <c r="T59" s="2"/>
      <c r="U59" s="136"/>
      <c r="V59" s="2"/>
      <c r="W59" s="2"/>
      <c r="X59" s="2"/>
      <c r="Y59" s="4"/>
    </row>
    <row r="60" spans="2:25">
      <c r="B60" s="142"/>
      <c r="C60" s="9"/>
      <c r="D60" s="2"/>
      <c r="E60" s="2"/>
      <c r="F60" s="2"/>
      <c r="G60" s="2"/>
      <c r="H60" s="4"/>
      <c r="I60" s="3"/>
      <c r="J60" s="2"/>
      <c r="K60" s="2"/>
      <c r="L60" s="2"/>
      <c r="M60" s="4"/>
      <c r="P60" s="3"/>
      <c r="Q60" s="122" t="s">
        <v>244</v>
      </c>
      <c r="R60" s="2"/>
      <c r="S60" s="2"/>
      <c r="T60" s="2"/>
      <c r="U60" s="136">
        <f>U58/(1+V31)^N35</f>
        <v>334219.5493368535</v>
      </c>
      <c r="V60" s="2"/>
      <c r="W60" s="2"/>
      <c r="X60" s="2"/>
      <c r="Y60" s="4"/>
    </row>
    <row r="61" spans="2:25">
      <c r="B61" s="3"/>
      <c r="C61" s="2"/>
      <c r="D61" s="2"/>
      <c r="E61" s="2"/>
      <c r="F61" s="2"/>
      <c r="G61" s="2"/>
      <c r="H61" s="4"/>
      <c r="I61" s="3"/>
      <c r="J61" s="2"/>
      <c r="K61" s="2"/>
      <c r="L61" s="2"/>
      <c r="M61" s="4"/>
      <c r="P61" s="3"/>
      <c r="Q61" s="122"/>
      <c r="R61" s="2"/>
      <c r="S61" s="2"/>
      <c r="T61" s="2"/>
      <c r="U61" s="136"/>
      <c r="V61" s="2"/>
      <c r="W61" s="2"/>
      <c r="X61" s="2"/>
      <c r="Y61" s="4"/>
    </row>
    <row r="62" spans="2:25">
      <c r="B62" s="142"/>
      <c r="C62" s="9"/>
      <c r="D62" s="2"/>
      <c r="E62" s="2"/>
      <c r="F62" s="2"/>
      <c r="G62" s="2"/>
      <c r="H62" s="4"/>
      <c r="I62" s="3"/>
      <c r="J62" s="2"/>
      <c r="K62" s="2"/>
      <c r="L62" s="2"/>
      <c r="M62" s="4"/>
      <c r="P62" s="3"/>
      <c r="Q62" s="122" t="s">
        <v>229</v>
      </c>
      <c r="R62" s="2"/>
      <c r="S62" s="2"/>
      <c r="T62" s="2"/>
      <c r="U62" s="136">
        <f>U54+U60</f>
        <v>396443.21563172562</v>
      </c>
      <c r="V62" s="2"/>
      <c r="W62" s="2"/>
      <c r="X62" s="2"/>
      <c r="Y62" s="4"/>
    </row>
    <row r="63" spans="2:25">
      <c r="B63" s="3"/>
      <c r="C63" s="2"/>
      <c r="D63" s="2"/>
      <c r="E63" s="2"/>
      <c r="F63" s="2"/>
      <c r="G63" s="2"/>
      <c r="H63" s="4"/>
      <c r="I63" s="3"/>
      <c r="J63" s="2"/>
      <c r="K63" s="2"/>
      <c r="L63" s="2"/>
      <c r="M63" s="4"/>
      <c r="P63" s="3"/>
      <c r="Q63" s="2"/>
      <c r="R63" s="2"/>
      <c r="S63" s="2"/>
      <c r="T63" s="2"/>
      <c r="U63" s="2"/>
      <c r="V63" s="2"/>
      <c r="W63" s="2"/>
      <c r="X63" s="2"/>
      <c r="Y63" s="4"/>
    </row>
    <row r="64" spans="2:25">
      <c r="B64" s="3"/>
      <c r="C64" s="2"/>
      <c r="D64" s="2"/>
      <c r="E64" s="2"/>
      <c r="F64" s="2"/>
      <c r="G64" s="2"/>
      <c r="H64" s="4"/>
      <c r="I64" s="3"/>
      <c r="J64" s="2"/>
      <c r="K64" s="2"/>
      <c r="L64" s="2"/>
      <c r="M64" s="4"/>
      <c r="P64" s="3"/>
      <c r="Q64" s="2"/>
      <c r="R64" s="2"/>
      <c r="S64" s="2"/>
      <c r="T64" s="2"/>
      <c r="U64" s="2"/>
      <c r="V64" s="2"/>
      <c r="W64" s="2"/>
      <c r="X64" s="2"/>
      <c r="Y64" s="4"/>
    </row>
    <row r="65" spans="2:25">
      <c r="B65" s="3"/>
      <c r="C65" s="2"/>
      <c r="D65" s="2"/>
      <c r="E65" s="2"/>
      <c r="F65" s="2"/>
      <c r="G65" s="2"/>
      <c r="H65" s="4"/>
      <c r="I65" s="3"/>
      <c r="J65" s="2"/>
      <c r="K65" s="2"/>
      <c r="L65" s="2"/>
      <c r="M65" s="4"/>
      <c r="P65" s="3"/>
      <c r="Q65" s="2"/>
      <c r="R65" s="2"/>
      <c r="S65" s="2"/>
      <c r="T65" s="2"/>
      <c r="U65" s="2"/>
      <c r="V65" s="2"/>
      <c r="W65" s="2"/>
      <c r="X65" s="2"/>
      <c r="Y65" s="4"/>
    </row>
    <row r="66" spans="2:25">
      <c r="B66" s="3"/>
      <c r="C66" s="2"/>
      <c r="D66" s="2"/>
      <c r="E66" s="2"/>
      <c r="F66" s="2"/>
      <c r="G66" s="2"/>
      <c r="H66" s="4"/>
      <c r="I66" s="3"/>
      <c r="J66" s="2"/>
      <c r="K66" s="2"/>
      <c r="L66" s="2"/>
      <c r="M66" s="4"/>
      <c r="P66" s="3"/>
      <c r="Q66" s="2"/>
      <c r="R66" s="2"/>
      <c r="S66" s="2"/>
      <c r="T66" s="2"/>
      <c r="U66" s="2"/>
      <c r="V66" s="2"/>
      <c r="W66" s="2"/>
      <c r="X66" s="2"/>
      <c r="Y66" s="4"/>
    </row>
    <row r="67" spans="2:25" ht="15" thickBot="1">
      <c r="B67" s="5"/>
      <c r="C67" s="6"/>
      <c r="D67" s="6"/>
      <c r="E67" s="6"/>
      <c r="F67" s="6"/>
      <c r="G67" s="6"/>
      <c r="H67" s="7"/>
      <c r="I67" s="5"/>
      <c r="J67" s="6"/>
      <c r="K67" s="6"/>
      <c r="L67" s="6"/>
      <c r="M67" s="7"/>
      <c r="P67" s="5"/>
      <c r="Q67" s="6"/>
      <c r="R67" s="6"/>
      <c r="S67" s="6"/>
      <c r="T67" s="6"/>
      <c r="U67" s="6"/>
      <c r="V67" s="6"/>
      <c r="W67" s="6"/>
      <c r="X67" s="6"/>
      <c r="Y67" s="7"/>
    </row>
    <row r="68" spans="2:2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2:25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2:25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2:25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2:25">
      <c r="L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2:25">
      <c r="L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2:25">
      <c r="L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2:25">
      <c r="L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2:25">
      <c r="L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2:25">
      <c r="L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2:25">
      <c r="L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2:25">
      <c r="L79" s="2"/>
    </row>
  </sheetData>
  <mergeCells count="51">
    <mergeCell ref="B2:AK4"/>
    <mergeCell ref="AG11:AK11"/>
    <mergeCell ref="AB11:AE11"/>
    <mergeCell ref="T19:U19"/>
    <mergeCell ref="T21:U21"/>
    <mergeCell ref="T23:U23"/>
    <mergeCell ref="T26:U26"/>
    <mergeCell ref="T28:U28"/>
    <mergeCell ref="T31:U31"/>
    <mergeCell ref="O31:P31"/>
    <mergeCell ref="R21:S21"/>
    <mergeCell ref="R23:S23"/>
    <mergeCell ref="R26:S26"/>
    <mergeCell ref="O26:P26"/>
    <mergeCell ref="T15:U15"/>
    <mergeCell ref="P48:Y49"/>
    <mergeCell ref="U50:U51"/>
    <mergeCell ref="Q50:Q51"/>
    <mergeCell ref="O21:P21"/>
    <mergeCell ref="O23:Q23"/>
    <mergeCell ref="B6:N7"/>
    <mergeCell ref="O6:Z7"/>
    <mergeCell ref="B8:D9"/>
    <mergeCell ref="O8:Q9"/>
    <mergeCell ref="Y9:Y10"/>
    <mergeCell ref="Z9:Z10"/>
    <mergeCell ref="T11:U11"/>
    <mergeCell ref="T13:U13"/>
    <mergeCell ref="R11:S11"/>
    <mergeCell ref="R13:S13"/>
    <mergeCell ref="T17:U17"/>
    <mergeCell ref="R15:S15"/>
    <mergeCell ref="R17:S17"/>
    <mergeCell ref="R19:S19"/>
    <mergeCell ref="O11:Q11"/>
    <mergeCell ref="O13:P13"/>
    <mergeCell ref="O15:P15"/>
    <mergeCell ref="O17:P17"/>
    <mergeCell ref="O19:P19"/>
    <mergeCell ref="O28:P28"/>
    <mergeCell ref="F49:F50"/>
    <mergeCell ref="B47:H48"/>
    <mergeCell ref="I47:M48"/>
    <mergeCell ref="AB6:AL7"/>
    <mergeCell ref="AB8:AF9"/>
    <mergeCell ref="AG8:AL9"/>
    <mergeCell ref="G49:G50"/>
    <mergeCell ref="K49:K50"/>
    <mergeCell ref="L49:L50"/>
    <mergeCell ref="R28:S28"/>
    <mergeCell ref="R31:S3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143C0-27BA-484F-BD5E-79683142413B}">
  <dimension ref="A1:AF456"/>
  <sheetViews>
    <sheetView topLeftCell="B85" zoomScale="55" zoomScaleNormal="55" workbookViewId="0">
      <selection activeCell="C44" sqref="C44"/>
    </sheetView>
  </sheetViews>
  <sheetFormatPr defaultRowHeight="14.4"/>
  <cols>
    <col min="2" max="2" width="23.5546875" bestFit="1" customWidth="1"/>
    <col min="3" max="3" width="29" bestFit="1" customWidth="1"/>
    <col min="4" max="4" width="11.88671875" bestFit="1" customWidth="1"/>
    <col min="5" max="5" width="14" bestFit="1" customWidth="1"/>
    <col min="6" max="9" width="9.88671875" bestFit="1" customWidth="1"/>
    <col min="10" max="10" width="11.5546875" customWidth="1"/>
    <col min="11" max="15" width="10.6640625" bestFit="1" customWidth="1"/>
  </cols>
  <sheetData>
    <row r="1" spans="1:26" ht="31.2">
      <c r="A1" s="94" t="s">
        <v>38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</row>
    <row r="2" spans="1:26">
      <c r="C2" s="1" t="s">
        <v>246</v>
      </c>
    </row>
    <row r="3" spans="1:26">
      <c r="C3" s="1"/>
      <c r="H3" s="26"/>
    </row>
    <row r="4" spans="1:26">
      <c r="C4" s="1"/>
      <c r="F4" s="27">
        <v>2021</v>
      </c>
      <c r="G4" s="27">
        <v>2022</v>
      </c>
      <c r="H4" s="27">
        <v>2023</v>
      </c>
      <c r="I4" s="27">
        <v>2024</v>
      </c>
      <c r="J4" s="27">
        <v>2025</v>
      </c>
      <c r="K4" s="27" t="s">
        <v>169</v>
      </c>
      <c r="L4" s="27" t="s">
        <v>170</v>
      </c>
      <c r="M4" s="144" t="s">
        <v>235</v>
      </c>
      <c r="N4" s="144" t="s">
        <v>236</v>
      </c>
      <c r="O4" s="144" t="s">
        <v>237</v>
      </c>
    </row>
    <row r="5" spans="1:26" ht="15" thickBot="1">
      <c r="B5" s="28" t="s">
        <v>4</v>
      </c>
      <c r="C5" s="28"/>
      <c r="D5" s="28"/>
      <c r="E5" s="28"/>
      <c r="F5" s="29"/>
      <c r="G5" s="30"/>
      <c r="H5" s="30"/>
      <c r="I5" s="30"/>
      <c r="J5" s="30"/>
      <c r="K5" s="30"/>
      <c r="L5" s="30"/>
    </row>
    <row r="6" spans="1:26" ht="15" thickBot="1">
      <c r="B6" s="11" t="s">
        <v>39</v>
      </c>
      <c r="F6" s="31"/>
      <c r="K6" s="156">
        <f>Input!G63</f>
        <v>0.02</v>
      </c>
      <c r="L6" s="32">
        <f>Input!H63</f>
        <v>0.02</v>
      </c>
      <c r="M6" s="32">
        <f>Input!I63</f>
        <v>0.02</v>
      </c>
      <c r="N6" s="32">
        <f>Input!J63</f>
        <v>0.02</v>
      </c>
      <c r="O6" s="157">
        <f>Input!K63</f>
        <v>0.02</v>
      </c>
    </row>
    <row r="7" spans="1:26">
      <c r="B7" s="28" t="s">
        <v>40</v>
      </c>
      <c r="C7" s="33"/>
      <c r="D7" s="33"/>
      <c r="E7" s="33"/>
      <c r="F7" s="99"/>
      <c r="G7" s="43"/>
      <c r="H7" s="43"/>
      <c r="I7" s="43"/>
      <c r="J7" s="43"/>
      <c r="K7" s="34">
        <f t="shared" ref="K7:L7" si="0">K10/J10-1</f>
        <v>2.0000000000000018E-2</v>
      </c>
      <c r="L7" s="34">
        <f t="shared" si="0"/>
        <v>2.0000000000000018E-2</v>
      </c>
    </row>
    <row r="8" spans="1:26">
      <c r="F8" s="11"/>
      <c r="G8" s="49"/>
      <c r="H8" s="49"/>
      <c r="I8" s="49"/>
      <c r="J8" s="49"/>
    </row>
    <row r="9" spans="1:26">
      <c r="B9" s="11" t="s">
        <v>41</v>
      </c>
      <c r="F9" s="93">
        <v>469822</v>
      </c>
      <c r="G9" s="93">
        <v>513983</v>
      </c>
      <c r="H9" s="93">
        <v>574785</v>
      </c>
      <c r="I9" s="93">
        <v>637959</v>
      </c>
      <c r="J9" s="93">
        <v>716924</v>
      </c>
      <c r="K9" s="35">
        <f>K160</f>
        <v>734847.09999999986</v>
      </c>
      <c r="L9" s="35">
        <f>L160</f>
        <v>756892.51300000004</v>
      </c>
      <c r="M9" s="35">
        <f t="shared" ref="M9:O9" si="1">M160</f>
        <v>777707.05710750003</v>
      </c>
      <c r="N9" s="35">
        <f t="shared" si="1"/>
        <v>799094.00117795635</v>
      </c>
      <c r="O9" s="35">
        <f t="shared" si="1"/>
        <v>821734.99787799839</v>
      </c>
    </row>
    <row r="10" spans="1:26">
      <c r="C10" t="s">
        <v>42</v>
      </c>
      <c r="F10" s="98">
        <v>-272344</v>
      </c>
      <c r="G10" s="98">
        <v>-288831</v>
      </c>
      <c r="H10" s="98">
        <v>-304739</v>
      </c>
      <c r="I10" s="98">
        <v>-326288</v>
      </c>
      <c r="J10" s="98">
        <v>-356414</v>
      </c>
      <c r="K10" s="35">
        <f>J10*(1+K6)</f>
        <v>-363542.28</v>
      </c>
      <c r="L10" s="35">
        <f>K10*(1+L6)</f>
        <v>-370813.12560000003</v>
      </c>
      <c r="M10" s="35">
        <f t="shared" ref="M10:O10" si="2">L10*(1+M6)</f>
        <v>-378229.38811200002</v>
      </c>
      <c r="N10" s="35">
        <f t="shared" si="2"/>
        <v>-385793.97587424004</v>
      </c>
      <c r="O10" s="35">
        <f t="shared" si="2"/>
        <v>-393509.85539172485</v>
      </c>
    </row>
    <row r="11" spans="1:26">
      <c r="F11" s="36"/>
      <c r="G11" s="36"/>
      <c r="H11" s="36"/>
      <c r="I11" s="36"/>
      <c r="J11" s="36"/>
      <c r="K11" s="37"/>
      <c r="L11" s="37"/>
      <c r="M11" s="37"/>
      <c r="N11" s="37"/>
      <c r="O11" s="37"/>
    </row>
    <row r="12" spans="1:26">
      <c r="B12" s="11" t="s">
        <v>43</v>
      </c>
      <c r="F12" s="36">
        <f>SUM(F9:F11)</f>
        <v>197478</v>
      </c>
      <c r="G12" s="36">
        <f>SUM(G9:G11)</f>
        <v>225152</v>
      </c>
      <c r="H12" s="36">
        <f>SUM(H9:H11)</f>
        <v>270046</v>
      </c>
      <c r="I12" s="36">
        <f>SUM(I9:I11)</f>
        <v>311671</v>
      </c>
      <c r="J12" s="36">
        <f>SUM(J9:J11)</f>
        <v>360510</v>
      </c>
      <c r="K12" s="36">
        <f t="shared" ref="K12:L12" si="3">SUM(K9:K11)</f>
        <v>371304.81999999983</v>
      </c>
      <c r="L12" s="36">
        <f t="shared" si="3"/>
        <v>386079.38740000001</v>
      </c>
      <c r="M12" s="36">
        <f t="shared" ref="M12:O12" si="4">SUM(M9:M11)</f>
        <v>399477.66899550002</v>
      </c>
      <c r="N12" s="36">
        <f t="shared" si="4"/>
        <v>413300.02530371631</v>
      </c>
      <c r="O12" s="36">
        <f t="shared" si="4"/>
        <v>428225.14248627354</v>
      </c>
    </row>
    <row r="13" spans="1:26">
      <c r="B13" s="11"/>
      <c r="F13" s="36"/>
      <c r="G13" s="36"/>
      <c r="H13" s="36"/>
      <c r="I13" s="36"/>
      <c r="J13" s="36"/>
      <c r="K13" s="35"/>
      <c r="L13" s="35"/>
      <c r="M13" s="35"/>
      <c r="N13" s="35"/>
      <c r="O13" s="35"/>
    </row>
    <row r="14" spans="1:26">
      <c r="B14" s="11"/>
      <c r="C14" t="s">
        <v>163</v>
      </c>
      <c r="F14" s="93">
        <v>-75111</v>
      </c>
      <c r="G14" s="93">
        <v>-84299</v>
      </c>
      <c r="H14" s="93">
        <v>-90619</v>
      </c>
      <c r="I14" s="93">
        <v>-98505</v>
      </c>
      <c r="J14" s="93">
        <v>-109074</v>
      </c>
      <c r="K14" s="35">
        <f>J14*(1+$K$6)</f>
        <v>-111255.48</v>
      </c>
      <c r="L14" s="35">
        <f>K14*(1+$L$6)</f>
        <v>-113480.58959999999</v>
      </c>
      <c r="M14" s="35">
        <f t="shared" ref="M14:O18" si="5">L14*(1+$L$6)</f>
        <v>-115750.20139199999</v>
      </c>
      <c r="N14" s="35">
        <f t="shared" si="5"/>
        <v>-118065.20541983999</v>
      </c>
      <c r="O14" s="35">
        <f t="shared" si="5"/>
        <v>-120426.50952823678</v>
      </c>
    </row>
    <row r="15" spans="1:26">
      <c r="B15" s="11"/>
      <c r="C15" t="s">
        <v>164</v>
      </c>
      <c r="F15" s="93">
        <v>-56052</v>
      </c>
      <c r="G15" s="93">
        <v>-73213</v>
      </c>
      <c r="H15" s="93">
        <v>-85622</v>
      </c>
      <c r="I15" s="93">
        <v>-88544</v>
      </c>
      <c r="J15" s="93">
        <v>-108521</v>
      </c>
      <c r="K15" s="35">
        <f>J15*(1+$K$6)</f>
        <v>-110691.42</v>
      </c>
      <c r="L15" s="35">
        <f t="shared" ref="L15:L18" si="6">K15*(1+$L$6)</f>
        <v>-112905.2484</v>
      </c>
      <c r="M15" s="35">
        <f t="shared" si="5"/>
        <v>-115163.353368</v>
      </c>
      <c r="N15" s="35">
        <f t="shared" si="5"/>
        <v>-117466.62043536</v>
      </c>
      <c r="O15" s="35">
        <f t="shared" si="5"/>
        <v>-119815.9528440672</v>
      </c>
    </row>
    <row r="16" spans="1:26">
      <c r="B16" s="11"/>
      <c r="C16" t="s">
        <v>165</v>
      </c>
      <c r="F16" s="93">
        <v>-32551</v>
      </c>
      <c r="G16" s="93">
        <v>-42238</v>
      </c>
      <c r="H16" s="93">
        <v>-44370</v>
      </c>
      <c r="I16" s="93">
        <v>-43907</v>
      </c>
      <c r="J16" s="93">
        <v>-47129</v>
      </c>
      <c r="K16" s="35">
        <f>J16*(1+$K$6)</f>
        <v>-48071.58</v>
      </c>
      <c r="L16" s="35">
        <f t="shared" si="6"/>
        <v>-49033.011600000005</v>
      </c>
      <c r="M16" s="35">
        <f t="shared" si="5"/>
        <v>-50013.671832000007</v>
      </c>
      <c r="N16" s="35">
        <f t="shared" si="5"/>
        <v>-51013.945268640011</v>
      </c>
      <c r="O16" s="35">
        <f t="shared" si="5"/>
        <v>-52034.224174012816</v>
      </c>
    </row>
    <row r="17" spans="2:23">
      <c r="B17" s="11"/>
      <c r="C17" t="s">
        <v>44</v>
      </c>
      <c r="F17" s="93">
        <v>-8823</v>
      </c>
      <c r="G17" s="93">
        <v>-11891</v>
      </c>
      <c r="H17" s="93">
        <v>-11816</v>
      </c>
      <c r="I17" s="93">
        <v>-11359</v>
      </c>
      <c r="J17" s="93">
        <v>-11172</v>
      </c>
      <c r="K17" s="35">
        <f>J17*(1+$K$6)</f>
        <v>-11395.44</v>
      </c>
      <c r="L17" s="35">
        <f t="shared" si="6"/>
        <v>-11623.348800000002</v>
      </c>
      <c r="M17" s="35">
        <f t="shared" si="5"/>
        <v>-11855.815776000001</v>
      </c>
      <c r="N17" s="35">
        <f t="shared" si="5"/>
        <v>-12092.932091520002</v>
      </c>
      <c r="O17" s="35">
        <f t="shared" si="5"/>
        <v>-12334.790733350403</v>
      </c>
    </row>
    <row r="18" spans="2:23">
      <c r="B18" s="11"/>
      <c r="C18" t="s">
        <v>166</v>
      </c>
      <c r="F18" s="93">
        <v>-62</v>
      </c>
      <c r="G18" s="93">
        <v>-1263</v>
      </c>
      <c r="H18" s="93">
        <v>-767</v>
      </c>
      <c r="I18" s="93">
        <v>-763</v>
      </c>
      <c r="J18" s="93">
        <v>-4639</v>
      </c>
      <c r="K18" s="35">
        <f>J18*(1+$K$6)</f>
        <v>-4731.78</v>
      </c>
      <c r="L18" s="35">
        <f t="shared" si="6"/>
        <v>-4826.4156000000003</v>
      </c>
      <c r="M18" s="35">
        <f t="shared" si="5"/>
        <v>-4922.9439120000006</v>
      </c>
      <c r="N18" s="35">
        <f t="shared" si="5"/>
        <v>-5021.4027902400003</v>
      </c>
      <c r="O18" s="35">
        <f t="shared" si="5"/>
        <v>-5121.8308460448006</v>
      </c>
    </row>
    <row r="19" spans="2:23">
      <c r="F19" s="24"/>
      <c r="G19" s="36"/>
      <c r="H19" s="36"/>
      <c r="I19" s="36"/>
      <c r="J19" s="36"/>
      <c r="K19" s="36"/>
      <c r="L19" s="31"/>
      <c r="M19" s="31"/>
      <c r="N19" s="31"/>
      <c r="O19" s="31"/>
      <c r="P19" s="31"/>
    </row>
    <row r="20" spans="2:23">
      <c r="B20" s="11" t="s">
        <v>47</v>
      </c>
      <c r="F20" s="36">
        <f>SUM(F12:F19)</f>
        <v>24879</v>
      </c>
      <c r="G20" s="36">
        <f>SUM(G12:G19)</f>
        <v>12248</v>
      </c>
      <c r="H20" s="36">
        <f>SUM(H12:H19)</f>
        <v>36852</v>
      </c>
      <c r="I20" s="36">
        <f>SUM(I12:I19)</f>
        <v>68593</v>
      </c>
      <c r="J20" s="36">
        <f>SUM(J12:J19)</f>
        <v>79975</v>
      </c>
      <c r="K20" s="36">
        <f t="shared" ref="K20:L20" si="7">SUM(K12:K19)</f>
        <v>85159.119999999864</v>
      </c>
      <c r="L20" s="36">
        <f t="shared" si="7"/>
        <v>94210.773400000005</v>
      </c>
      <c r="M20" s="36">
        <f t="shared" ref="M20:O20" si="8">SUM(M12:M19)</f>
        <v>101771.68271549998</v>
      </c>
      <c r="N20" s="36">
        <f t="shared" si="8"/>
        <v>109639.91929811629</v>
      </c>
      <c r="O20" s="36">
        <f t="shared" si="8"/>
        <v>118491.83436056154</v>
      </c>
    </row>
    <row r="21" spans="2:23">
      <c r="F21" s="24"/>
      <c r="G21" s="24"/>
      <c r="H21" s="24"/>
      <c r="I21" s="24"/>
      <c r="J21" s="24"/>
      <c r="K21" s="26"/>
    </row>
    <row r="22" spans="2:23">
      <c r="B22" s="11"/>
      <c r="C22" t="s">
        <v>46</v>
      </c>
      <c r="F22" s="24">
        <v>34433</v>
      </c>
      <c r="G22" s="24">
        <v>41921</v>
      </c>
      <c r="H22" s="24">
        <v>48663</v>
      </c>
      <c r="I22" s="24">
        <v>52795</v>
      </c>
      <c r="J22" s="24">
        <v>65756</v>
      </c>
      <c r="K22" s="40">
        <f>K51</f>
        <v>32854.718181818178</v>
      </c>
      <c r="L22" s="40">
        <f t="shared" ref="L22:O22" si="9">L51</f>
        <v>32979.718181818178</v>
      </c>
      <c r="M22" s="40">
        <f t="shared" si="9"/>
        <v>33098.468181818178</v>
      </c>
      <c r="N22" s="40">
        <f t="shared" si="9"/>
        <v>33218.780681818178</v>
      </c>
      <c r="O22" s="40">
        <f t="shared" si="9"/>
        <v>33340.134848484849</v>
      </c>
    </row>
    <row r="23" spans="2:23">
      <c r="B23" s="11" t="s">
        <v>45</v>
      </c>
      <c r="F23" s="36">
        <f t="shared" ref="F23:L23" si="10">SUM(F20:F22)</f>
        <v>59312</v>
      </c>
      <c r="G23" s="36">
        <f t="shared" si="10"/>
        <v>54169</v>
      </c>
      <c r="H23" s="36">
        <f t="shared" si="10"/>
        <v>85515</v>
      </c>
      <c r="I23" s="36">
        <f t="shared" si="10"/>
        <v>121388</v>
      </c>
      <c r="J23" s="36">
        <f t="shared" si="10"/>
        <v>145731</v>
      </c>
      <c r="K23" s="39">
        <f t="shared" si="10"/>
        <v>118013.83818181805</v>
      </c>
      <c r="L23" s="39">
        <f t="shared" si="10"/>
        <v>127190.49158181818</v>
      </c>
      <c r="M23" s="39">
        <f t="shared" ref="M23:O23" si="11">SUM(M20:M22)</f>
        <v>134870.15089731815</v>
      </c>
      <c r="N23" s="39">
        <f t="shared" si="11"/>
        <v>142858.69997993446</v>
      </c>
      <c r="O23" s="39">
        <f t="shared" si="11"/>
        <v>151831.96920904639</v>
      </c>
      <c r="W23" s="31"/>
    </row>
    <row r="24" spans="2:23">
      <c r="F24" s="36"/>
      <c r="G24" s="36"/>
      <c r="H24" s="36"/>
      <c r="I24" s="36"/>
      <c r="J24" s="36"/>
      <c r="K24" s="39"/>
      <c r="L24" s="39"/>
      <c r="M24" s="39"/>
      <c r="N24" s="39"/>
      <c r="O24" s="39"/>
    </row>
    <row r="25" spans="2:23">
      <c r="F25" s="24"/>
      <c r="G25" s="24"/>
      <c r="H25" s="24"/>
      <c r="I25" s="24"/>
      <c r="J25" s="24"/>
    </row>
    <row r="26" spans="2:23">
      <c r="C26" t="s">
        <v>48</v>
      </c>
      <c r="F26" s="36">
        <v>448</v>
      </c>
      <c r="G26" s="36">
        <v>989</v>
      </c>
      <c r="H26" s="36">
        <v>2949</v>
      </c>
      <c r="I26" s="36">
        <v>4677</v>
      </c>
      <c r="J26" s="36">
        <v>4381</v>
      </c>
      <c r="K26" s="39">
        <f>J26*(1+$K$6)</f>
        <v>4468.62</v>
      </c>
      <c r="L26" s="39">
        <f>K26*(1+$K$6)</f>
        <v>4557.9924000000001</v>
      </c>
      <c r="M26" s="39">
        <f t="shared" ref="M26:O26" si="12">L26*(1+$K$6)</f>
        <v>4649.1522480000003</v>
      </c>
      <c r="N26" s="39">
        <f t="shared" si="12"/>
        <v>4742.1352929600007</v>
      </c>
      <c r="O26" s="39">
        <f t="shared" si="12"/>
        <v>4836.9779988192004</v>
      </c>
    </row>
    <row r="27" spans="2:23">
      <c r="C27" t="s">
        <v>49</v>
      </c>
      <c r="F27" s="24">
        <v>-1809</v>
      </c>
      <c r="G27" s="24">
        <v>-2367</v>
      </c>
      <c r="H27" s="24">
        <v>-3182</v>
      </c>
      <c r="I27" s="24">
        <v>-2406</v>
      </c>
      <c r="J27" s="24">
        <v>-2274</v>
      </c>
      <c r="K27" s="39">
        <f t="shared" ref="K27:K28" si="13">J27*(1+$K$6)</f>
        <v>-2319.48</v>
      </c>
      <c r="L27" s="39">
        <f>K27*(1+$K$6)</f>
        <v>-2365.8696</v>
      </c>
      <c r="M27" s="39">
        <f t="shared" ref="M27:O27" si="14">L27*(1+$K$6)</f>
        <v>-2413.1869919999999</v>
      </c>
      <c r="N27" s="39">
        <f t="shared" si="14"/>
        <v>-2461.4507318400001</v>
      </c>
      <c r="O27" s="39">
        <f t="shared" si="14"/>
        <v>-2510.6797464768001</v>
      </c>
    </row>
    <row r="28" spans="2:23">
      <c r="C28" t="s">
        <v>50</v>
      </c>
      <c r="F28" s="36">
        <v>14633</v>
      </c>
      <c r="G28" s="36">
        <v>-16806</v>
      </c>
      <c r="H28" s="36">
        <v>938</v>
      </c>
      <c r="I28" s="36">
        <v>-2250</v>
      </c>
      <c r="J28" s="36">
        <v>15229</v>
      </c>
      <c r="K28" s="39">
        <f t="shared" si="13"/>
        <v>15533.58</v>
      </c>
      <c r="L28" s="39">
        <f>K28*(1+$K$6)</f>
        <v>15844.2516</v>
      </c>
      <c r="M28" s="39">
        <f t="shared" ref="M28:O28" si="15">L28*(1+$K$6)</f>
        <v>16161.136632</v>
      </c>
      <c r="N28" s="39">
        <f t="shared" si="15"/>
        <v>16484.35936464</v>
      </c>
      <c r="O28" s="39">
        <f t="shared" si="15"/>
        <v>16814.046551932799</v>
      </c>
    </row>
    <row r="29" spans="2:23">
      <c r="F29" s="36"/>
      <c r="G29" s="36"/>
      <c r="H29" s="36"/>
      <c r="I29" s="36"/>
      <c r="J29" s="36"/>
      <c r="K29" s="39"/>
      <c r="L29" s="39"/>
      <c r="M29" s="39"/>
      <c r="N29" s="39"/>
      <c r="O29" s="39"/>
    </row>
    <row r="30" spans="2:23">
      <c r="F30" s="36"/>
      <c r="G30" s="36"/>
      <c r="H30" s="36"/>
      <c r="I30" s="36"/>
      <c r="J30" s="36"/>
      <c r="K30" s="39"/>
      <c r="L30" s="39"/>
      <c r="M30" s="39"/>
      <c r="N30" s="39"/>
      <c r="O30" s="39"/>
    </row>
    <row r="31" spans="2:23">
      <c r="B31" s="11" t="s">
        <v>51</v>
      </c>
      <c r="F31" s="24">
        <f>SUM(F20,F26:F28)</f>
        <v>38151</v>
      </c>
      <c r="G31" s="24">
        <f>SUM(G20,G26:G28)</f>
        <v>-5936</v>
      </c>
      <c r="H31" s="24">
        <f>SUM(H20,H26:H28)</f>
        <v>37557</v>
      </c>
      <c r="I31" s="24">
        <f>SUM(I20,I26:I28)</f>
        <v>68614</v>
      </c>
      <c r="J31" s="24">
        <f>SUM(J20,J26:J28)</f>
        <v>97311</v>
      </c>
      <c r="K31" s="40">
        <f>SUM(K20,K26:K30)</f>
        <v>102841.83999999987</v>
      </c>
      <c r="L31" s="40">
        <f>SUM(L20,L26:L30)</f>
        <v>112247.14780000001</v>
      </c>
      <c r="M31" s="40">
        <f t="shared" ref="M31:O31" si="16">SUM(M20,M26:M30)</f>
        <v>120168.78460349997</v>
      </c>
      <c r="N31" s="40">
        <f t="shared" si="16"/>
        <v>128404.96322387629</v>
      </c>
      <c r="O31" s="40">
        <f t="shared" si="16"/>
        <v>137632.17916483674</v>
      </c>
    </row>
    <row r="32" spans="2:23">
      <c r="C32" t="s">
        <v>52</v>
      </c>
      <c r="F32" s="36">
        <v>-4791</v>
      </c>
      <c r="G32" s="36">
        <v>3217</v>
      </c>
      <c r="H32" s="36">
        <v>-7120</v>
      </c>
      <c r="I32" s="36">
        <v>-9265</v>
      </c>
      <c r="J32" s="36">
        <v>-19087</v>
      </c>
      <c r="K32" s="40">
        <f>J32*(1+$K$6)</f>
        <v>-19468.740000000002</v>
      </c>
      <c r="L32" s="40">
        <f>K32*(1+L6)</f>
        <v>-19858.114800000003</v>
      </c>
      <c r="M32" s="40">
        <f t="shared" ref="M32:O32" si="17">L32*(1+M6)</f>
        <v>-20255.277096000002</v>
      </c>
      <c r="N32" s="40">
        <f t="shared" si="17"/>
        <v>-20660.382637920004</v>
      </c>
      <c r="O32" s="40">
        <f t="shared" si="17"/>
        <v>-21073.590290678403</v>
      </c>
    </row>
    <row r="33" spans="1:29">
      <c r="C33" t="s">
        <v>167</v>
      </c>
      <c r="F33" s="36">
        <v>4</v>
      </c>
      <c r="G33" s="36">
        <v>-3</v>
      </c>
      <c r="H33" s="36">
        <v>-12</v>
      </c>
      <c r="I33" s="36">
        <v>-101</v>
      </c>
      <c r="J33" s="36">
        <v>-554</v>
      </c>
      <c r="K33" s="40">
        <f>J33*(1+$K$6)</f>
        <v>-565.08000000000004</v>
      </c>
      <c r="L33" s="40">
        <f>K33*(1+$K$6)</f>
        <v>-576.38160000000005</v>
      </c>
      <c r="M33" s="40">
        <f t="shared" ref="M33:O33" si="18">L33*(1+$K$6)</f>
        <v>-587.90923200000009</v>
      </c>
      <c r="N33" s="40">
        <f t="shared" si="18"/>
        <v>-599.66741664000006</v>
      </c>
      <c r="O33" s="40">
        <f t="shared" si="18"/>
        <v>-611.66076497280005</v>
      </c>
    </row>
    <row r="34" spans="1:29">
      <c r="F34" s="36"/>
      <c r="G34" s="36"/>
      <c r="H34" s="36"/>
      <c r="I34" s="36"/>
      <c r="J34" s="36"/>
      <c r="K34" s="39"/>
      <c r="L34" s="39"/>
      <c r="M34" s="39"/>
      <c r="N34" s="39"/>
      <c r="O34" s="39"/>
    </row>
    <row r="35" spans="1:29" ht="15" thickBot="1">
      <c r="F35" s="36"/>
      <c r="G35" s="36"/>
      <c r="H35" s="36"/>
      <c r="I35" s="36"/>
      <c r="J35" s="36"/>
      <c r="K35" s="31"/>
      <c r="L35" s="31"/>
      <c r="M35" s="31"/>
      <c r="N35" s="31"/>
      <c r="O35" s="31"/>
    </row>
    <row r="36" spans="1:29" ht="15" thickBot="1">
      <c r="B36" s="11" t="s">
        <v>53</v>
      </c>
      <c r="F36" s="41">
        <f>SUM(F31:F35)</f>
        <v>33364</v>
      </c>
      <c r="G36" s="41">
        <f t="shared" ref="G36:L36" si="19">SUM(G31:G35)</f>
        <v>-2722</v>
      </c>
      <c r="H36" s="41">
        <f t="shared" si="19"/>
        <v>30425</v>
      </c>
      <c r="I36" s="41">
        <f t="shared" si="19"/>
        <v>59248</v>
      </c>
      <c r="J36" s="41">
        <f t="shared" si="19"/>
        <v>77670</v>
      </c>
      <c r="K36" s="41">
        <f t="shared" si="19"/>
        <v>82808.019999999859</v>
      </c>
      <c r="L36" s="41">
        <f t="shared" si="19"/>
        <v>91812.651400000002</v>
      </c>
      <c r="M36" s="41">
        <f t="shared" ref="M36:O36" si="20">SUM(M31:M35)</f>
        <v>99325.598275499957</v>
      </c>
      <c r="N36" s="41">
        <f t="shared" si="20"/>
        <v>107144.91316931628</v>
      </c>
      <c r="O36" s="41">
        <f t="shared" si="20"/>
        <v>115946.92810918554</v>
      </c>
    </row>
    <row r="37" spans="1:29">
      <c r="F37" s="38"/>
      <c r="G37" s="39"/>
      <c r="H37" s="39"/>
      <c r="I37" s="39"/>
      <c r="J37" s="39"/>
      <c r="K37" s="31"/>
      <c r="L37" s="31"/>
      <c r="M37" s="37"/>
      <c r="N37" s="31"/>
      <c r="O37" s="31"/>
    </row>
    <row r="38" spans="1:29">
      <c r="M38" s="42"/>
    </row>
    <row r="41" spans="1:29" ht="46.2">
      <c r="A41" s="21" t="s">
        <v>54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</row>
    <row r="42" spans="1:29" ht="46.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</row>
    <row r="43" spans="1:29" ht="46.2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</row>
    <row r="44" spans="1:29">
      <c r="C44" s="1" t="s">
        <v>246</v>
      </c>
    </row>
    <row r="45" spans="1:29">
      <c r="C45" s="1"/>
      <c r="F45" s="27">
        <f>F4</f>
        <v>2021</v>
      </c>
      <c r="G45" s="27">
        <f t="shared" ref="G45:L45" si="21">G4</f>
        <v>2022</v>
      </c>
      <c r="H45" s="27">
        <f t="shared" si="21"/>
        <v>2023</v>
      </c>
      <c r="I45" s="27">
        <f t="shared" si="21"/>
        <v>2024</v>
      </c>
      <c r="J45" s="27">
        <f t="shared" si="21"/>
        <v>2025</v>
      </c>
      <c r="K45" s="27" t="str">
        <f t="shared" si="21"/>
        <v>2026F</v>
      </c>
      <c r="L45" s="27" t="str">
        <f t="shared" si="21"/>
        <v>2027F</v>
      </c>
      <c r="M45" s="27" t="str">
        <f>M4</f>
        <v>2028F</v>
      </c>
      <c r="N45" s="27" t="str">
        <f>N4</f>
        <v>2029F</v>
      </c>
      <c r="O45" s="27" t="str">
        <f>O4</f>
        <v>2030F</v>
      </c>
    </row>
    <row r="46" spans="1:29">
      <c r="C46" s="1"/>
    </row>
    <row r="47" spans="1:29">
      <c r="G47" s="43"/>
      <c r="H47" s="43"/>
      <c r="I47" s="44"/>
      <c r="J47" s="43"/>
      <c r="K47" s="43"/>
      <c r="L47" s="43"/>
      <c r="M47" s="43"/>
      <c r="N47" s="43"/>
      <c r="O47" s="43"/>
    </row>
    <row r="48" spans="1:29">
      <c r="B48" s="11" t="s">
        <v>55</v>
      </c>
      <c r="F48" s="24"/>
      <c r="G48" s="24"/>
      <c r="H48" s="24"/>
      <c r="I48" s="24"/>
      <c r="J48" s="24"/>
      <c r="K48" s="31"/>
      <c r="L48" s="31"/>
      <c r="M48" s="31"/>
      <c r="N48" s="31"/>
      <c r="O48" s="31"/>
    </row>
    <row r="49" spans="2:15">
      <c r="C49" t="s">
        <v>56</v>
      </c>
      <c r="F49" s="24">
        <f>F36</f>
        <v>33364</v>
      </c>
      <c r="G49" s="24">
        <f t="shared" ref="G49:L49" si="22">G36</f>
        <v>-2722</v>
      </c>
      <c r="H49" s="24">
        <f t="shared" si="22"/>
        <v>30425</v>
      </c>
      <c r="I49" s="24">
        <f t="shared" si="22"/>
        <v>59248</v>
      </c>
      <c r="J49" s="24">
        <f t="shared" si="22"/>
        <v>77670</v>
      </c>
      <c r="K49" s="40">
        <f>K36</f>
        <v>82808.019999999859</v>
      </c>
      <c r="L49" s="40">
        <f t="shared" si="22"/>
        <v>91812.651400000002</v>
      </c>
      <c r="M49" s="40">
        <f t="shared" ref="M49:O49" si="23">M36</f>
        <v>99325.598275499957</v>
      </c>
      <c r="N49" s="40">
        <f t="shared" si="23"/>
        <v>107144.91316931628</v>
      </c>
      <c r="O49" s="40">
        <f t="shared" si="23"/>
        <v>115946.92810918554</v>
      </c>
    </row>
    <row r="50" spans="2:15">
      <c r="C50" t="s">
        <v>57</v>
      </c>
      <c r="F50" s="24">
        <v>-3688</v>
      </c>
      <c r="G50" s="24">
        <v>-6035</v>
      </c>
      <c r="H50" s="24">
        <v>-11179</v>
      </c>
      <c r="I50" s="24">
        <v>-12308</v>
      </c>
      <c r="J50" s="24">
        <v>-8295</v>
      </c>
      <c r="K50" s="40"/>
      <c r="L50" s="40"/>
      <c r="M50" s="40"/>
      <c r="N50" s="40"/>
      <c r="O50" s="40"/>
    </row>
    <row r="51" spans="2:15">
      <c r="C51" t="s">
        <v>58</v>
      </c>
      <c r="F51" s="24">
        <f>F22</f>
        <v>34433</v>
      </c>
      <c r="G51" s="24">
        <f t="shared" ref="G51:J51" si="24">G22</f>
        <v>41921</v>
      </c>
      <c r="H51" s="24">
        <f t="shared" si="24"/>
        <v>48663</v>
      </c>
      <c r="I51" s="24">
        <f t="shared" si="24"/>
        <v>52795</v>
      </c>
      <c r="J51" s="24">
        <f t="shared" si="24"/>
        <v>65756</v>
      </c>
      <c r="K51" s="40">
        <f>H250</f>
        <v>32854.718181818178</v>
      </c>
      <c r="L51" s="40">
        <f t="shared" ref="L51:O51" si="25">I250</f>
        <v>32979.718181818178</v>
      </c>
      <c r="M51" s="40">
        <f t="shared" si="25"/>
        <v>33098.468181818178</v>
      </c>
      <c r="N51" s="40">
        <f t="shared" si="25"/>
        <v>33218.780681818178</v>
      </c>
      <c r="O51" s="40">
        <f t="shared" si="25"/>
        <v>33340.134848484849</v>
      </c>
    </row>
    <row r="52" spans="2:15">
      <c r="C52" t="s">
        <v>59</v>
      </c>
      <c r="F52" s="24">
        <v>-9145</v>
      </c>
      <c r="G52" s="24">
        <v>-8622</v>
      </c>
      <c r="H52" s="24">
        <v>-8348</v>
      </c>
      <c r="I52" s="24">
        <f>-I201</f>
        <v>-3198</v>
      </c>
      <c r="J52" s="24">
        <f t="shared" ref="J52" si="26">-J201</f>
        <v>-12278.000000000015</v>
      </c>
      <c r="K52" s="40">
        <f>-K201</f>
        <v>3304.0487671233132</v>
      </c>
      <c r="L52" s="40">
        <f t="shared" ref="L52:O52" si="27">-L201</f>
        <v>-8153.7828904109774</v>
      </c>
      <c r="M52" s="40">
        <f t="shared" si="27"/>
        <v>1200.1412106815114</v>
      </c>
      <c r="N52" s="40">
        <f t="shared" si="27"/>
        <v>-1962.9113050966698</v>
      </c>
      <c r="O52" s="40">
        <f t="shared" si="27"/>
        <v>-3203.6736668230442</v>
      </c>
    </row>
    <row r="53" spans="2:15">
      <c r="C53" t="s">
        <v>60</v>
      </c>
      <c r="F53" s="24">
        <v>-9487</v>
      </c>
      <c r="G53" s="24">
        <v>-2592</v>
      </c>
      <c r="H53" s="24">
        <v>1149</v>
      </c>
      <c r="I53" s="24">
        <f>I202</f>
        <v>896</v>
      </c>
      <c r="J53" s="24">
        <f t="shared" ref="J53" si="28">J202</f>
        <v>4110.9999999999927</v>
      </c>
      <c r="K53" s="40">
        <f>-K202</f>
        <v>8444.8126027397193</v>
      </c>
      <c r="L53" s="40">
        <f t="shared" ref="L53:O53" si="29">-L202</f>
        <v>-5677.2356054794545</v>
      </c>
      <c r="M53" s="40">
        <f t="shared" si="29"/>
        <v>1879.4637872876701</v>
      </c>
      <c r="N53" s="40">
        <f t="shared" si="29"/>
        <v>-673.55918430904421</v>
      </c>
      <c r="O53" s="40">
        <f t="shared" si="29"/>
        <v>-1585.4546953735917</v>
      </c>
    </row>
    <row r="54" spans="2:15">
      <c r="C54" t="s">
        <v>61</v>
      </c>
      <c r="F54" s="24">
        <v>3602</v>
      </c>
      <c r="G54" s="24">
        <v>2945</v>
      </c>
      <c r="H54" s="24">
        <v>5473</v>
      </c>
      <c r="I54" s="24">
        <f>I203</f>
        <v>-9382</v>
      </c>
      <c r="J54" s="24">
        <f t="shared" ref="J54" si="30">J203</f>
        <v>-27546</v>
      </c>
      <c r="K54" s="40">
        <f>-K203</f>
        <v>-22308.375342465748</v>
      </c>
      <c r="L54" s="40">
        <f t="shared" ref="L54:O54" si="31">-L203</f>
        <v>27390.171780821925</v>
      </c>
      <c r="M54" s="40">
        <f t="shared" si="31"/>
        <v>-10413.24530794521</v>
      </c>
      <c r="N54" s="40">
        <f t="shared" si="31"/>
        <v>2331.551022608226</v>
      </c>
      <c r="O54" s="40">
        <f t="shared" si="31"/>
        <v>6870.3036799522379</v>
      </c>
    </row>
    <row r="55" spans="2:15">
      <c r="C55" t="s">
        <v>62</v>
      </c>
      <c r="F55" s="24">
        <f>SUM(F49:F54)</f>
        <v>49079</v>
      </c>
      <c r="G55" s="24">
        <f t="shared" ref="G55:L55" si="32">SUM(G49:G54)</f>
        <v>24895</v>
      </c>
      <c r="H55" s="24">
        <f t="shared" si="32"/>
        <v>66183</v>
      </c>
      <c r="I55" s="24">
        <f t="shared" si="32"/>
        <v>88051</v>
      </c>
      <c r="J55" s="24">
        <f t="shared" si="32"/>
        <v>99417.999999999971</v>
      </c>
      <c r="K55" s="40">
        <f t="shared" si="32"/>
        <v>105103.22420921533</v>
      </c>
      <c r="L55" s="40">
        <f t="shared" si="32"/>
        <v>138351.52286674967</v>
      </c>
      <c r="M55" s="40">
        <f t="shared" ref="M55:O55" si="33">SUM(M49:M54)</f>
        <v>125090.42614734214</v>
      </c>
      <c r="N55" s="40">
        <f t="shared" si="33"/>
        <v>140058.77438433695</v>
      </c>
      <c r="O55" s="40">
        <f t="shared" si="33"/>
        <v>151368.23827542597</v>
      </c>
    </row>
    <row r="56" spans="2:15">
      <c r="F56" s="24"/>
      <c r="G56" s="24"/>
      <c r="H56" s="24"/>
      <c r="I56" s="24"/>
      <c r="J56" s="24"/>
      <c r="K56" s="31"/>
      <c r="L56" s="31"/>
      <c r="M56" s="31"/>
      <c r="N56" s="31"/>
      <c r="O56" s="31"/>
    </row>
    <row r="57" spans="2:15">
      <c r="F57" s="24"/>
      <c r="G57" s="24"/>
      <c r="H57" s="24"/>
      <c r="I57" s="24"/>
      <c r="J57" s="24"/>
      <c r="K57" s="31"/>
      <c r="L57" s="31"/>
      <c r="M57" s="31"/>
      <c r="N57" s="31"/>
      <c r="O57" s="31"/>
    </row>
    <row r="58" spans="2:15">
      <c r="F58" s="24"/>
      <c r="G58" s="24"/>
      <c r="H58" s="24"/>
      <c r="I58" s="16"/>
      <c r="J58" s="16"/>
      <c r="K58" s="31"/>
      <c r="L58" s="31"/>
      <c r="M58" s="31"/>
      <c r="N58" s="31"/>
      <c r="O58" s="31"/>
    </row>
    <row r="59" spans="2:15">
      <c r="B59" s="11" t="s">
        <v>63</v>
      </c>
      <c r="F59" s="24"/>
      <c r="G59" s="24"/>
      <c r="H59" s="24"/>
      <c r="I59" s="24"/>
      <c r="J59" s="24"/>
      <c r="K59" s="31"/>
      <c r="L59" s="31"/>
      <c r="M59" s="31"/>
      <c r="N59" s="31"/>
      <c r="O59" s="31"/>
    </row>
    <row r="60" spans="2:15">
      <c r="B60" s="11"/>
      <c r="C60" t="s">
        <v>14</v>
      </c>
      <c r="F60" s="24">
        <v>-55396</v>
      </c>
      <c r="G60" s="24">
        <v>-58321</v>
      </c>
      <c r="H60" s="24">
        <v>-48133</v>
      </c>
      <c r="I60" s="24">
        <v>-77658</v>
      </c>
      <c r="J60" s="24">
        <v>-128320</v>
      </c>
      <c r="K60" s="40">
        <f>-K216</f>
        <v>-95000</v>
      </c>
      <c r="L60" s="40">
        <f>-L216</f>
        <v>-97500</v>
      </c>
      <c r="M60" s="40">
        <f t="shared" ref="M60:O60" si="34">-M216</f>
        <v>-96250</v>
      </c>
      <c r="N60" s="40">
        <f t="shared" si="34"/>
        <v>-96250</v>
      </c>
      <c r="O60" s="40">
        <f t="shared" si="34"/>
        <v>-96666.666666666672</v>
      </c>
    </row>
    <row r="61" spans="2:15">
      <c r="B61" s="11"/>
      <c r="C61" t="s">
        <v>64</v>
      </c>
      <c r="E61" s="26"/>
      <c r="F61" s="24">
        <v>-58154</v>
      </c>
      <c r="G61" s="24">
        <v>-37601</v>
      </c>
      <c r="H61" s="24">
        <v>-49833</v>
      </c>
      <c r="I61" s="24">
        <v>-94342</v>
      </c>
      <c r="J61" s="24">
        <v>-142545</v>
      </c>
      <c r="K61" s="40">
        <f>K60</f>
        <v>-95000</v>
      </c>
      <c r="L61" s="40">
        <f>L60</f>
        <v>-97500</v>
      </c>
      <c r="M61" s="40">
        <f t="shared" ref="M61:O61" si="35">M60</f>
        <v>-96250</v>
      </c>
      <c r="N61" s="40">
        <f t="shared" si="35"/>
        <v>-96250</v>
      </c>
      <c r="O61" s="40">
        <f t="shared" si="35"/>
        <v>-96666.666666666672</v>
      </c>
    </row>
    <row r="62" spans="2:15">
      <c r="B62" s="11"/>
      <c r="F62" s="24"/>
      <c r="G62" s="16"/>
      <c r="H62" s="16"/>
      <c r="I62" s="16"/>
      <c r="J62" s="16"/>
      <c r="K62" s="31"/>
      <c r="L62" s="31"/>
      <c r="M62" s="31"/>
      <c r="N62" s="31"/>
      <c r="O62" s="31"/>
    </row>
    <row r="63" spans="2:15">
      <c r="B63" s="11"/>
      <c r="F63" s="24"/>
      <c r="G63" s="16"/>
      <c r="H63" s="16"/>
      <c r="I63" s="16"/>
      <c r="J63" s="16"/>
      <c r="K63" s="31"/>
      <c r="L63" s="31"/>
      <c r="M63" s="31"/>
      <c r="N63" s="31"/>
      <c r="O63" s="31"/>
    </row>
    <row r="64" spans="2:15">
      <c r="B64" s="11"/>
      <c r="F64" s="24"/>
      <c r="G64" s="24"/>
      <c r="H64" s="16"/>
      <c r="I64" s="16"/>
      <c r="J64" s="16"/>
      <c r="K64" s="31"/>
      <c r="L64" s="31"/>
      <c r="M64" s="31"/>
      <c r="N64" s="31"/>
      <c r="O64" s="31"/>
    </row>
    <row r="65" spans="2:15">
      <c r="B65" s="11"/>
      <c r="F65" s="24"/>
      <c r="G65" s="45"/>
      <c r="H65" s="24"/>
      <c r="I65" s="24"/>
      <c r="J65" s="24"/>
      <c r="K65" s="31"/>
      <c r="L65" s="31"/>
      <c r="M65" s="31"/>
      <c r="N65" s="31"/>
      <c r="O65" s="31"/>
    </row>
    <row r="66" spans="2:15">
      <c r="B66" s="11" t="s">
        <v>65</v>
      </c>
      <c r="F66" s="24"/>
      <c r="G66" s="24"/>
      <c r="H66" s="24"/>
      <c r="I66" s="24"/>
      <c r="J66" s="24"/>
      <c r="K66" s="31"/>
      <c r="L66" s="31"/>
      <c r="M66" s="31"/>
      <c r="N66" s="31"/>
      <c r="O66" s="31"/>
    </row>
    <row r="67" spans="2:15">
      <c r="B67" s="11"/>
      <c r="C67" t="s">
        <v>66</v>
      </c>
      <c r="F67" s="24">
        <v>6291</v>
      </c>
      <c r="G67" s="24">
        <v>15718</v>
      </c>
      <c r="H67" s="24">
        <v>-15879</v>
      </c>
      <c r="I67" s="24">
        <v>-11812</v>
      </c>
      <c r="J67" s="24">
        <v>9661</v>
      </c>
      <c r="K67" s="40">
        <f>Input!G67</f>
        <v>-400</v>
      </c>
      <c r="L67" s="40">
        <f>Input!H67</f>
        <v>-450</v>
      </c>
      <c r="M67" s="40">
        <f>Input!I67</f>
        <v>-425</v>
      </c>
      <c r="N67" s="40">
        <f>Input!J67</f>
        <v>-425</v>
      </c>
      <c r="O67" s="40">
        <f>Input!K67</f>
        <v>-433.33333333333331</v>
      </c>
    </row>
    <row r="68" spans="2:15">
      <c r="B68" s="11"/>
      <c r="F68" s="24"/>
      <c r="G68" s="24"/>
      <c r="H68" s="24"/>
      <c r="I68" s="24"/>
      <c r="J68" s="24"/>
      <c r="K68" s="31"/>
      <c r="L68" s="31"/>
      <c r="M68" s="31"/>
      <c r="N68" s="31"/>
      <c r="O68" s="31"/>
    </row>
    <row r="69" spans="2:15">
      <c r="B69" s="11"/>
      <c r="C69" t="s">
        <v>67</v>
      </c>
      <c r="F69" s="88" t="s">
        <v>155</v>
      </c>
      <c r="G69" s="24">
        <v>-6000</v>
      </c>
      <c r="H69" s="24"/>
      <c r="I69" s="24"/>
      <c r="J69" s="24"/>
      <c r="K69" s="40">
        <f>Input!G66</f>
        <v>-2500</v>
      </c>
      <c r="L69" s="40">
        <f>Input!H66</f>
        <v>-2500</v>
      </c>
      <c r="M69" s="40">
        <f>Input!I66</f>
        <v>-2500</v>
      </c>
      <c r="N69" s="40">
        <f>Input!J66</f>
        <v>-2500</v>
      </c>
      <c r="O69" s="40">
        <f>Input!K66</f>
        <v>-2500</v>
      </c>
    </row>
    <row r="70" spans="2:15">
      <c r="B70" s="11"/>
      <c r="C70" t="s">
        <v>68</v>
      </c>
      <c r="F70" s="88" t="s">
        <v>155</v>
      </c>
      <c r="G70" s="24"/>
      <c r="H70" s="24"/>
      <c r="I70" s="24"/>
      <c r="J70" s="24"/>
      <c r="K70" s="40">
        <f>-K378</f>
        <v>-8280.8019999999869</v>
      </c>
      <c r="L70" s="40">
        <f>-L378</f>
        <v>-9181.2651400000013</v>
      </c>
      <c r="M70" s="40">
        <f t="shared" ref="M70:O70" si="36">-M378</f>
        <v>-9932.559827549996</v>
      </c>
      <c r="N70" s="40">
        <f t="shared" si="36"/>
        <v>-10714.491316931628</v>
      </c>
      <c r="O70" s="40">
        <f t="shared" si="36"/>
        <v>-11594.692810918554</v>
      </c>
    </row>
    <row r="71" spans="2:15">
      <c r="B71" s="11"/>
      <c r="C71" t="s">
        <v>64</v>
      </c>
      <c r="F71" s="24">
        <f>SUM(F67:F70)</f>
        <v>6291</v>
      </c>
      <c r="G71" s="24">
        <f t="shared" ref="G71:J71" si="37">SUM(G67:G70)</f>
        <v>9718</v>
      </c>
      <c r="H71" s="24">
        <f t="shared" si="37"/>
        <v>-15879</v>
      </c>
      <c r="I71" s="24">
        <f t="shared" si="37"/>
        <v>-11812</v>
      </c>
      <c r="J71" s="24">
        <f t="shared" si="37"/>
        <v>9661</v>
      </c>
      <c r="K71" s="40">
        <f>SUM(K67:K70)</f>
        <v>-11180.801999999987</v>
      </c>
      <c r="L71" s="40">
        <f>SUM(L67:L70)</f>
        <v>-12131.265140000001</v>
      </c>
      <c r="M71" s="40">
        <f t="shared" ref="M71:O71" si="38">SUM(M67:M70)</f>
        <v>-12857.559827549996</v>
      </c>
      <c r="N71" s="40">
        <f t="shared" si="38"/>
        <v>-13639.491316931628</v>
      </c>
      <c r="O71" s="40">
        <f t="shared" si="38"/>
        <v>-14528.026144251888</v>
      </c>
    </row>
    <row r="72" spans="2:15">
      <c r="B72" s="11"/>
      <c r="F72" s="24"/>
      <c r="G72" s="24"/>
      <c r="H72" s="24"/>
      <c r="I72" s="24"/>
      <c r="J72" s="24"/>
      <c r="K72" s="31"/>
      <c r="L72" s="31"/>
      <c r="M72" s="31"/>
      <c r="N72" s="31"/>
      <c r="O72" s="31"/>
    </row>
    <row r="73" spans="2:15" ht="14.4" customHeight="1">
      <c r="B73" s="11"/>
      <c r="F73" s="24"/>
      <c r="G73" s="24"/>
      <c r="H73" s="24"/>
      <c r="I73" s="24"/>
      <c r="J73" s="24"/>
      <c r="K73" s="31"/>
      <c r="L73" s="31"/>
      <c r="M73" s="31"/>
      <c r="N73" s="31"/>
      <c r="O73" s="31"/>
    </row>
    <row r="74" spans="2:15" ht="14.4" customHeight="1">
      <c r="B74" s="11"/>
      <c r="F74" s="24"/>
      <c r="G74" s="24"/>
      <c r="H74" s="24"/>
      <c r="I74" s="24"/>
      <c r="J74" s="24"/>
      <c r="K74" s="31"/>
      <c r="L74" s="31"/>
      <c r="M74" s="31"/>
      <c r="N74" s="31"/>
      <c r="O74" s="31"/>
    </row>
    <row r="75" spans="2:15" ht="14.4" customHeight="1">
      <c r="B75" s="11"/>
      <c r="F75" s="24"/>
      <c r="G75" s="24"/>
      <c r="H75" s="24"/>
      <c r="I75" s="24"/>
      <c r="J75" s="24"/>
      <c r="K75" s="31"/>
      <c r="L75" s="31"/>
      <c r="M75" s="31"/>
      <c r="N75" s="31"/>
      <c r="O75" s="31"/>
    </row>
    <row r="76" spans="2:15">
      <c r="B76" s="11" t="s">
        <v>69</v>
      </c>
      <c r="F76" s="24"/>
      <c r="G76" s="24"/>
      <c r="H76" s="24"/>
      <c r="I76" s="24"/>
      <c r="J76" s="24"/>
      <c r="K76" s="31"/>
      <c r="L76" s="31"/>
      <c r="M76" s="31"/>
      <c r="N76" s="31"/>
      <c r="O76" s="31"/>
    </row>
    <row r="77" spans="2:15">
      <c r="C77" t="s">
        <v>70</v>
      </c>
      <c r="F77" s="24">
        <v>42377</v>
      </c>
      <c r="G77" s="24">
        <v>36477</v>
      </c>
      <c r="H77" s="24">
        <v>54253</v>
      </c>
      <c r="I77" s="24">
        <v>73890</v>
      </c>
      <c r="J77" s="24">
        <v>82312</v>
      </c>
      <c r="K77" s="40">
        <f>J79</f>
        <v>86810</v>
      </c>
      <c r="L77" s="40">
        <f>K79</f>
        <v>85732.42220921535</v>
      </c>
      <c r="M77" s="40">
        <f t="shared" ref="M77:O77" si="39">L79</f>
        <v>114452.67993596502</v>
      </c>
      <c r="N77" s="40">
        <f t="shared" si="39"/>
        <v>130435.54625575716</v>
      </c>
      <c r="O77" s="40">
        <f t="shared" si="39"/>
        <v>160604.8293231625</v>
      </c>
    </row>
    <row r="78" spans="2:15" ht="15" thickBot="1">
      <c r="C78" t="s">
        <v>71</v>
      </c>
      <c r="F78" s="24">
        <v>-5900</v>
      </c>
      <c r="G78" s="24">
        <v>17776</v>
      </c>
      <c r="H78" s="24">
        <v>19637</v>
      </c>
      <c r="I78" s="24">
        <v>8422</v>
      </c>
      <c r="J78" s="24">
        <v>5000</v>
      </c>
      <c r="K78" s="40">
        <f>K55+K61+K71</f>
        <v>-1077.577790784655</v>
      </c>
      <c r="L78" s="40">
        <f t="shared" ref="L78:O78" si="40">L55+L61+L71</f>
        <v>28720.257726749667</v>
      </c>
      <c r="M78" s="40">
        <f t="shared" si="40"/>
        <v>15982.86631979214</v>
      </c>
      <c r="N78" s="40">
        <f t="shared" si="40"/>
        <v>30169.283067405326</v>
      </c>
      <c r="O78" s="40">
        <f t="shared" si="40"/>
        <v>40173.545464507413</v>
      </c>
    </row>
    <row r="79" spans="2:15" ht="15" thickBot="1">
      <c r="C79" t="s">
        <v>72</v>
      </c>
      <c r="F79" s="46">
        <f>SUM(F77:F78)</f>
        <v>36477</v>
      </c>
      <c r="G79" s="46">
        <f t="shared" ref="G79:L79" si="41">SUM(G77:G78)</f>
        <v>54253</v>
      </c>
      <c r="H79" s="46">
        <f t="shared" si="41"/>
        <v>73890</v>
      </c>
      <c r="I79" s="46">
        <f t="shared" si="41"/>
        <v>82312</v>
      </c>
      <c r="J79" s="46">
        <v>86810</v>
      </c>
      <c r="K79" s="46">
        <f t="shared" si="41"/>
        <v>85732.42220921535</v>
      </c>
      <c r="L79" s="46">
        <f t="shared" si="41"/>
        <v>114452.67993596502</v>
      </c>
      <c r="M79" s="46">
        <f t="shared" ref="M79:O79" si="42">SUM(M77:M78)</f>
        <v>130435.54625575716</v>
      </c>
      <c r="N79" s="46">
        <f t="shared" si="42"/>
        <v>160604.8293231625</v>
      </c>
      <c r="O79" s="46">
        <f t="shared" si="42"/>
        <v>200778.37478766992</v>
      </c>
    </row>
    <row r="80" spans="2:15">
      <c r="F80" s="31"/>
      <c r="G80" s="31"/>
      <c r="H80" s="31"/>
      <c r="I80" s="31"/>
      <c r="J80" s="31"/>
      <c r="K80" s="31"/>
      <c r="L80" s="31"/>
      <c r="M80" s="31"/>
      <c r="N80" s="31"/>
      <c r="O80" s="31"/>
    </row>
    <row r="81" spans="1:28">
      <c r="F81" s="31"/>
      <c r="G81" s="31"/>
      <c r="H81" s="31"/>
      <c r="I81" s="31"/>
      <c r="J81" s="31"/>
      <c r="K81" s="31"/>
      <c r="L81" s="31"/>
      <c r="M81" s="31"/>
      <c r="N81" s="31"/>
      <c r="O81" s="31"/>
    </row>
    <row r="85" spans="1:28" ht="46.2">
      <c r="A85" s="21" t="s">
        <v>73</v>
      </c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</row>
    <row r="86" spans="1:28" ht="46.2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</row>
    <row r="87" spans="1:28" ht="46.2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</row>
    <row r="88" spans="1:28">
      <c r="C88" s="1" t="s">
        <v>246</v>
      </c>
    </row>
    <row r="89" spans="1:28">
      <c r="C89" s="1"/>
      <c r="F89" s="27">
        <f>F45</f>
        <v>2021</v>
      </c>
      <c r="G89" s="27">
        <f t="shared" ref="G89:L89" si="43">G45</f>
        <v>2022</v>
      </c>
      <c r="H89" s="27">
        <f t="shared" si="43"/>
        <v>2023</v>
      </c>
      <c r="I89" s="27">
        <f t="shared" si="43"/>
        <v>2024</v>
      </c>
      <c r="J89" s="27">
        <f t="shared" si="43"/>
        <v>2025</v>
      </c>
      <c r="K89" s="27" t="str">
        <f t="shared" si="43"/>
        <v>2026F</v>
      </c>
      <c r="L89" s="27" t="str">
        <f t="shared" si="43"/>
        <v>2027F</v>
      </c>
      <c r="M89" s="27" t="str">
        <f>M45</f>
        <v>2028F</v>
      </c>
      <c r="N89" s="27" t="str">
        <f t="shared" ref="N89:O89" si="44">N45</f>
        <v>2029F</v>
      </c>
      <c r="O89" s="27" t="str">
        <f t="shared" si="44"/>
        <v>2030F</v>
      </c>
    </row>
    <row r="90" spans="1:28">
      <c r="C90" s="1"/>
    </row>
    <row r="91" spans="1:28">
      <c r="F91" s="31"/>
      <c r="G91" s="40"/>
      <c r="H91" s="49"/>
      <c r="I91" s="40"/>
      <c r="J91" s="40"/>
      <c r="K91" s="49"/>
      <c r="L91" s="49"/>
      <c r="M91" s="40"/>
      <c r="N91" s="40"/>
      <c r="O91" s="40"/>
    </row>
    <row r="92" spans="1:28">
      <c r="B92" s="11" t="s">
        <v>74</v>
      </c>
      <c r="F92" s="31"/>
      <c r="G92" s="31"/>
      <c r="H92" s="26"/>
      <c r="I92" s="31"/>
      <c r="J92" s="31"/>
      <c r="K92" s="31"/>
      <c r="L92" s="31"/>
      <c r="M92" s="31"/>
      <c r="N92" s="31"/>
      <c r="O92" s="31"/>
    </row>
    <row r="93" spans="1:28">
      <c r="B93" s="11" t="s">
        <v>75</v>
      </c>
      <c r="C93" t="s">
        <v>76</v>
      </c>
      <c r="F93" s="24">
        <v>36220</v>
      </c>
      <c r="G93" s="24">
        <v>53888</v>
      </c>
      <c r="H93" s="24">
        <v>73387</v>
      </c>
      <c r="I93" s="24">
        <v>78779</v>
      </c>
      <c r="J93" s="24">
        <v>86810</v>
      </c>
      <c r="K93" s="40">
        <f>K79</f>
        <v>85732.42220921535</v>
      </c>
      <c r="L93" s="40">
        <f>L79</f>
        <v>114452.67993596502</v>
      </c>
      <c r="M93" s="40">
        <f t="shared" ref="M93:O93" si="45">M79</f>
        <v>130435.54625575716</v>
      </c>
      <c r="N93" s="40">
        <f t="shared" si="45"/>
        <v>160604.8293231625</v>
      </c>
      <c r="O93" s="40">
        <f t="shared" si="45"/>
        <v>200778.37478766992</v>
      </c>
    </row>
    <row r="94" spans="1:28">
      <c r="B94" s="11"/>
      <c r="C94" t="s">
        <v>77</v>
      </c>
      <c r="F94" s="24">
        <v>32891</v>
      </c>
      <c r="G94" s="24">
        <v>42360</v>
      </c>
      <c r="H94" s="24">
        <v>52253</v>
      </c>
      <c r="I94" s="24">
        <v>55451</v>
      </c>
      <c r="J94" s="24">
        <v>67729</v>
      </c>
      <c r="K94" s="40">
        <f>K171</f>
        <v>64424.951232876701</v>
      </c>
      <c r="L94" s="40">
        <f>L171</f>
        <v>72578.734123287679</v>
      </c>
      <c r="M94" s="40">
        <f t="shared" ref="M94:O94" si="46">M171</f>
        <v>71378.592912606167</v>
      </c>
      <c r="N94" s="40">
        <f t="shared" si="46"/>
        <v>73341.504217702837</v>
      </c>
      <c r="O94" s="40">
        <f t="shared" si="46"/>
        <v>76545.177884525881</v>
      </c>
    </row>
    <row r="95" spans="1:28">
      <c r="B95" s="11"/>
      <c r="C95" t="s">
        <v>78</v>
      </c>
      <c r="F95" s="24">
        <v>32640</v>
      </c>
      <c r="G95" s="24">
        <v>34405</v>
      </c>
      <c r="H95" s="24">
        <v>33318</v>
      </c>
      <c r="I95" s="24">
        <v>34214</v>
      </c>
      <c r="J95" s="24">
        <v>38325</v>
      </c>
      <c r="K95" s="40">
        <f>K173</f>
        <v>29880.187397260273</v>
      </c>
      <c r="L95" s="40">
        <f>L173</f>
        <v>35557.423002739728</v>
      </c>
      <c r="M95" s="40">
        <f t="shared" ref="M95:O95" si="47">M173</f>
        <v>33677.959215452058</v>
      </c>
      <c r="N95" s="40">
        <f t="shared" si="47"/>
        <v>34351.518399761102</v>
      </c>
      <c r="O95" s="40">
        <f t="shared" si="47"/>
        <v>35936.973095134694</v>
      </c>
    </row>
    <row r="96" spans="1:28">
      <c r="B96" s="11"/>
      <c r="C96" t="s">
        <v>79</v>
      </c>
      <c r="F96" s="24">
        <v>59829</v>
      </c>
      <c r="G96" s="24">
        <v>16138</v>
      </c>
      <c r="H96" s="20">
        <v>13393</v>
      </c>
      <c r="I96" s="20">
        <v>22423</v>
      </c>
      <c r="J96" s="20">
        <v>36219</v>
      </c>
      <c r="K96" s="20">
        <f>J96</f>
        <v>36219</v>
      </c>
      <c r="L96" s="20">
        <f>K96</f>
        <v>36219</v>
      </c>
      <c r="M96" s="20">
        <f t="shared" ref="M96:O96" si="48">L96</f>
        <v>36219</v>
      </c>
      <c r="N96" s="20">
        <f t="shared" si="48"/>
        <v>36219</v>
      </c>
      <c r="O96" s="20">
        <f t="shared" si="48"/>
        <v>36219</v>
      </c>
    </row>
    <row r="97" spans="1:15">
      <c r="B97" s="11"/>
      <c r="F97" s="24"/>
      <c r="G97" s="24"/>
      <c r="H97" s="96"/>
      <c r="I97" s="24"/>
      <c r="J97" s="24"/>
      <c r="K97" s="20"/>
      <c r="L97" s="20"/>
      <c r="M97" s="20"/>
      <c r="N97" s="20"/>
      <c r="O97" s="20"/>
    </row>
    <row r="98" spans="1:15">
      <c r="B98" s="11"/>
      <c r="C98" t="s">
        <v>80</v>
      </c>
      <c r="F98" s="24"/>
      <c r="G98" s="24"/>
      <c r="H98" s="24"/>
      <c r="I98" s="24"/>
      <c r="J98" s="24"/>
      <c r="K98" s="31"/>
      <c r="L98" s="31"/>
      <c r="M98" s="31"/>
      <c r="N98" s="31"/>
      <c r="O98" s="31"/>
    </row>
    <row r="99" spans="1:15">
      <c r="B99" s="11"/>
      <c r="F99" s="24"/>
      <c r="G99" s="24"/>
      <c r="H99" s="24"/>
      <c r="I99" s="24"/>
      <c r="J99" s="24"/>
      <c r="K99" s="31"/>
      <c r="L99" s="31"/>
      <c r="M99" s="31"/>
      <c r="N99" s="31"/>
      <c r="O99" s="31"/>
    </row>
    <row r="100" spans="1:15">
      <c r="B100" s="11"/>
      <c r="C100" t="s">
        <v>81</v>
      </c>
      <c r="F100" s="24">
        <f>SUM(F93:F99)</f>
        <v>161580</v>
      </c>
      <c r="G100" s="24">
        <f t="shared" ref="G100:L100" si="49">SUM(G93:G99)</f>
        <v>146791</v>
      </c>
      <c r="H100" s="24">
        <f t="shared" si="49"/>
        <v>172351</v>
      </c>
      <c r="I100" s="24">
        <f t="shared" si="49"/>
        <v>190867</v>
      </c>
      <c r="J100" s="24">
        <f t="shared" si="49"/>
        <v>229083</v>
      </c>
      <c r="K100" s="24">
        <f>SUM(K93:K99)</f>
        <v>216256.56083935231</v>
      </c>
      <c r="L100" s="24">
        <f t="shared" si="49"/>
        <v>258807.83706199244</v>
      </c>
      <c r="M100" s="24">
        <f t="shared" ref="M100:O100" si="50">SUM(M93:M99)</f>
        <v>271711.09838381538</v>
      </c>
      <c r="N100" s="24">
        <f t="shared" si="50"/>
        <v>304516.85194062645</v>
      </c>
      <c r="O100" s="24">
        <f t="shared" si="50"/>
        <v>349479.52576733055</v>
      </c>
    </row>
    <row r="101" spans="1:15">
      <c r="B101" s="11" t="s">
        <v>82</v>
      </c>
      <c r="F101" s="24"/>
      <c r="G101" s="24"/>
      <c r="H101" s="24"/>
      <c r="I101" s="24"/>
      <c r="J101" s="24"/>
      <c r="K101" s="31"/>
      <c r="L101" s="31"/>
      <c r="M101" s="31"/>
      <c r="N101" s="31"/>
      <c r="O101" s="31"/>
    </row>
    <row r="102" spans="1:15">
      <c r="B102" s="11"/>
      <c r="C102" t="s">
        <v>83</v>
      </c>
      <c r="F102" s="24">
        <v>160281</v>
      </c>
      <c r="G102" s="24">
        <v>186715</v>
      </c>
      <c r="H102" s="24">
        <v>204177</v>
      </c>
      <c r="I102" s="24">
        <v>252665</v>
      </c>
      <c r="J102" s="24">
        <v>357025</v>
      </c>
      <c r="K102" s="40">
        <f>K275</f>
        <v>419170.2818181818</v>
      </c>
      <c r="L102" s="40">
        <f>L275</f>
        <v>483690.5636363636</v>
      </c>
      <c r="M102" s="40">
        <f t="shared" ref="M102:O102" si="51">M275</f>
        <v>546842.09545454546</v>
      </c>
      <c r="N102" s="40">
        <f t="shared" si="51"/>
        <v>609873.31477272732</v>
      </c>
      <c r="O102" s="40">
        <f t="shared" si="51"/>
        <v>673199.84659090906</v>
      </c>
    </row>
    <row r="103" spans="1:15">
      <c r="B103" s="11"/>
      <c r="C103" t="s">
        <v>84</v>
      </c>
      <c r="F103" s="24">
        <v>56082</v>
      </c>
      <c r="G103" s="24">
        <v>66123</v>
      </c>
      <c r="H103" s="24">
        <v>72513</v>
      </c>
      <c r="I103" s="24">
        <v>76141</v>
      </c>
      <c r="J103" s="24">
        <v>86054</v>
      </c>
      <c r="K103" s="20">
        <f>J103</f>
        <v>86054</v>
      </c>
      <c r="L103" s="20">
        <f>K103</f>
        <v>86054</v>
      </c>
      <c r="M103" s="20">
        <f t="shared" ref="M103:O103" si="52">L103</f>
        <v>86054</v>
      </c>
      <c r="N103" s="20">
        <f t="shared" si="52"/>
        <v>86054</v>
      </c>
      <c r="O103" s="20">
        <f t="shared" si="52"/>
        <v>86054</v>
      </c>
    </row>
    <row r="104" spans="1:15">
      <c r="B104" s="11"/>
      <c r="C104" t="s">
        <v>85</v>
      </c>
      <c r="F104" s="97" t="s">
        <v>155</v>
      </c>
      <c r="G104" s="97" t="s">
        <v>155</v>
      </c>
      <c r="H104" s="97" t="s">
        <v>155</v>
      </c>
      <c r="I104" s="97" t="s">
        <v>155</v>
      </c>
      <c r="J104" s="97" t="s">
        <v>155</v>
      </c>
      <c r="K104" s="50"/>
      <c r="L104" s="50"/>
      <c r="M104" s="50"/>
      <c r="N104" s="50"/>
      <c r="O104" s="50"/>
    </row>
    <row r="105" spans="1:15">
      <c r="B105" s="11"/>
      <c r="C105" t="s">
        <v>86</v>
      </c>
      <c r="F105" s="24">
        <v>42606</v>
      </c>
      <c r="G105" s="24">
        <v>63046</v>
      </c>
      <c r="H105" s="24">
        <v>78813</v>
      </c>
      <c r="I105" s="24">
        <v>105221</v>
      </c>
      <c r="J105" s="24">
        <v>145880</v>
      </c>
      <c r="K105" s="50">
        <f>J105</f>
        <v>145880</v>
      </c>
      <c r="L105" s="50">
        <f>K105</f>
        <v>145880</v>
      </c>
      <c r="M105" s="50">
        <f t="shared" ref="M105:O105" si="53">L105</f>
        <v>145880</v>
      </c>
      <c r="N105" s="50">
        <f t="shared" si="53"/>
        <v>145880</v>
      </c>
      <c r="O105" s="50">
        <f t="shared" si="53"/>
        <v>145880</v>
      </c>
    </row>
    <row r="106" spans="1:15">
      <c r="B106" s="11"/>
      <c r="F106" s="24"/>
      <c r="G106" s="24"/>
      <c r="H106" s="24"/>
      <c r="I106" s="24"/>
      <c r="J106" s="24"/>
      <c r="K106" s="31"/>
      <c r="L106" s="31"/>
      <c r="M106" s="31"/>
      <c r="N106" s="31"/>
      <c r="O106" s="31"/>
    </row>
    <row r="107" spans="1:15">
      <c r="B107" s="11"/>
      <c r="F107" s="24"/>
      <c r="G107" s="24"/>
      <c r="H107" s="24"/>
      <c r="I107" s="24"/>
      <c r="J107" s="24"/>
      <c r="K107" s="31"/>
      <c r="L107" s="31"/>
      <c r="M107" s="31"/>
      <c r="N107" s="31"/>
      <c r="O107" s="31"/>
    </row>
    <row r="108" spans="1:15">
      <c r="B108" s="11"/>
      <c r="F108" s="24"/>
      <c r="G108" s="24"/>
      <c r="H108" s="24"/>
      <c r="I108" s="24"/>
      <c r="J108" s="24"/>
      <c r="K108" s="31"/>
      <c r="L108" s="31"/>
      <c r="M108" s="31"/>
      <c r="N108" s="31"/>
      <c r="O108" s="31"/>
    </row>
    <row r="109" spans="1:15">
      <c r="B109" s="11"/>
      <c r="C109" t="s">
        <v>81</v>
      </c>
      <c r="F109" s="24">
        <f>SUM(F100:F108)</f>
        <v>420549</v>
      </c>
      <c r="G109" s="24">
        <f t="shared" ref="G109:L109" si="54">SUM(G100:G108)</f>
        <v>462675</v>
      </c>
      <c r="H109" s="24">
        <f t="shared" si="54"/>
        <v>527854</v>
      </c>
      <c r="I109" s="24">
        <f t="shared" si="54"/>
        <v>624894</v>
      </c>
      <c r="J109" s="24">
        <f t="shared" si="54"/>
        <v>818042</v>
      </c>
      <c r="K109" s="24">
        <f t="shared" si="54"/>
        <v>867360.84265753417</v>
      </c>
      <c r="L109" s="24">
        <f t="shared" si="54"/>
        <v>974432.4006983561</v>
      </c>
      <c r="M109" s="24">
        <f t="shared" ref="M109:O109" si="55">SUM(M100:M108)</f>
        <v>1050487.1938383607</v>
      </c>
      <c r="N109" s="24">
        <f t="shared" si="55"/>
        <v>1146324.1667133537</v>
      </c>
      <c r="O109" s="24">
        <f t="shared" si="55"/>
        <v>1254613.3723582397</v>
      </c>
    </row>
    <row r="110" spans="1:15">
      <c r="B110" s="11"/>
      <c r="F110" s="24"/>
      <c r="G110" s="24"/>
      <c r="H110" s="24"/>
      <c r="I110" s="24"/>
      <c r="J110" s="24"/>
      <c r="K110" s="31"/>
      <c r="L110" s="31"/>
      <c r="M110" s="31"/>
      <c r="N110" s="31"/>
      <c r="O110" s="31"/>
    </row>
    <row r="111" spans="1:15">
      <c r="B111" s="11" t="s">
        <v>87</v>
      </c>
      <c r="F111" s="24"/>
      <c r="G111" s="24"/>
      <c r="H111" s="24"/>
      <c r="I111" s="24"/>
      <c r="J111" s="24"/>
      <c r="K111" s="31"/>
      <c r="L111" s="31"/>
      <c r="M111" s="31"/>
      <c r="N111" s="31"/>
      <c r="O111" s="31"/>
    </row>
    <row r="112" spans="1:15">
      <c r="A112" t="s">
        <v>88</v>
      </c>
      <c r="B112" s="11" t="s">
        <v>89</v>
      </c>
      <c r="F112" s="24"/>
      <c r="G112" s="24"/>
      <c r="H112" s="24"/>
      <c r="I112" s="24"/>
      <c r="J112" s="24"/>
      <c r="K112" s="31"/>
      <c r="L112" s="31"/>
      <c r="M112" s="31"/>
      <c r="N112" s="31"/>
      <c r="O112" s="31"/>
    </row>
    <row r="113" spans="2:15">
      <c r="C113" t="s">
        <v>90</v>
      </c>
      <c r="F113" s="24">
        <v>78664</v>
      </c>
      <c r="G113" s="24">
        <v>79600</v>
      </c>
      <c r="H113" s="24">
        <v>84981</v>
      </c>
      <c r="I113" s="24">
        <v>94363</v>
      </c>
      <c r="J113" s="24">
        <v>121909</v>
      </c>
      <c r="K113" s="40">
        <f>K175</f>
        <v>99600.624657534252</v>
      </c>
      <c r="L113" s="40">
        <f>L175</f>
        <v>126990.79643835618</v>
      </c>
      <c r="M113" s="40">
        <f t="shared" ref="M113:O113" si="56">M175</f>
        <v>116577.55113041097</v>
      </c>
      <c r="N113" s="40">
        <f t="shared" si="56"/>
        <v>118909.10215301919</v>
      </c>
      <c r="O113" s="40">
        <f t="shared" si="56"/>
        <v>125779.40583297143</v>
      </c>
    </row>
    <row r="114" spans="2:15">
      <c r="B114" s="11"/>
      <c r="C114" t="s">
        <v>168</v>
      </c>
      <c r="F114" s="24">
        <v>63602</v>
      </c>
      <c r="G114" s="24">
        <v>75793</v>
      </c>
      <c r="H114" s="24">
        <v>79936</v>
      </c>
      <c r="I114" s="24">
        <v>85068</v>
      </c>
      <c r="J114" s="24">
        <v>96096</v>
      </c>
      <c r="K114" s="158">
        <f>J114</f>
        <v>96096</v>
      </c>
      <c r="L114" s="158">
        <f>K114</f>
        <v>96096</v>
      </c>
      <c r="M114" s="158">
        <f t="shared" ref="M114:O114" si="57">L114</f>
        <v>96096</v>
      </c>
      <c r="N114" s="158">
        <f t="shared" si="57"/>
        <v>96096</v>
      </c>
      <c r="O114" s="158">
        <f t="shared" si="57"/>
        <v>96096</v>
      </c>
    </row>
    <row r="115" spans="2:15">
      <c r="B115" s="11"/>
      <c r="F115" s="24"/>
      <c r="G115" s="24"/>
      <c r="H115" s="24"/>
      <c r="I115" s="24"/>
      <c r="J115" s="24"/>
      <c r="K115" s="24"/>
      <c r="L115" s="24"/>
      <c r="M115" s="24"/>
      <c r="N115" s="24"/>
      <c r="O115" s="24"/>
    </row>
    <row r="116" spans="2:15">
      <c r="B116" s="11"/>
      <c r="F116" s="24"/>
      <c r="G116" s="24"/>
      <c r="H116" s="24"/>
      <c r="I116" s="24"/>
      <c r="J116" s="24"/>
      <c r="K116" s="24"/>
      <c r="L116" s="24"/>
      <c r="M116" s="24"/>
      <c r="N116" s="24"/>
      <c r="O116" s="24"/>
    </row>
    <row r="117" spans="2:15" ht="14.4" customHeight="1">
      <c r="B117" s="11"/>
      <c r="F117" s="24"/>
      <c r="G117" s="24"/>
      <c r="H117" s="24"/>
      <c r="I117" s="24"/>
      <c r="J117" s="24"/>
      <c r="K117" s="24"/>
      <c r="L117" s="24"/>
      <c r="M117" s="24"/>
      <c r="N117" s="24"/>
      <c r="O117" s="24"/>
    </row>
    <row r="118" spans="2:15" ht="14.4" customHeight="1">
      <c r="B118" s="11"/>
      <c r="C118" t="s">
        <v>91</v>
      </c>
      <c r="F118" s="24">
        <f>SUM(F113:F117)</f>
        <v>142266</v>
      </c>
      <c r="G118" s="24">
        <f t="shared" ref="G118:J118" si="58">SUM(G113:G117)</f>
        <v>155393</v>
      </c>
      <c r="H118" s="24">
        <f t="shared" si="58"/>
        <v>164917</v>
      </c>
      <c r="I118" s="24">
        <f t="shared" si="58"/>
        <v>179431</v>
      </c>
      <c r="J118" s="24">
        <f t="shared" si="58"/>
        <v>218005</v>
      </c>
      <c r="K118" s="40">
        <f>SUM(K113:K117)</f>
        <v>195696.62465753424</v>
      </c>
      <c r="L118" s="40">
        <f>SUM(L113:L117)</f>
        <v>223086.79643835616</v>
      </c>
      <c r="M118" s="40">
        <f t="shared" ref="M118:O118" si="59">SUM(M113:M117)</f>
        <v>212673.55113041098</v>
      </c>
      <c r="N118" s="40">
        <f t="shared" si="59"/>
        <v>215005.10215301919</v>
      </c>
      <c r="O118" s="40">
        <f t="shared" si="59"/>
        <v>221875.40583297145</v>
      </c>
    </row>
    <row r="119" spans="2:15" ht="14.4" customHeight="1">
      <c r="B119" s="11" t="s">
        <v>92</v>
      </c>
      <c r="F119" s="24"/>
      <c r="G119" s="24"/>
      <c r="H119" s="24"/>
      <c r="I119" s="24"/>
      <c r="J119" s="24"/>
      <c r="K119" s="31"/>
      <c r="L119" s="31"/>
      <c r="M119" s="31"/>
      <c r="N119" s="31"/>
      <c r="O119" s="31"/>
    </row>
    <row r="120" spans="2:15">
      <c r="B120" s="11"/>
      <c r="C120" t="s">
        <v>93</v>
      </c>
      <c r="F120" s="24">
        <v>48744</v>
      </c>
      <c r="G120" s="24">
        <v>67150</v>
      </c>
      <c r="H120" s="24">
        <v>58314</v>
      </c>
      <c r="I120" s="24">
        <v>52623</v>
      </c>
      <c r="J120" s="24">
        <v>65648</v>
      </c>
      <c r="K120" s="40">
        <f>K313</f>
        <v>65248</v>
      </c>
      <c r="L120" s="40">
        <f>L313</f>
        <v>64798</v>
      </c>
      <c r="M120" s="40">
        <f t="shared" ref="M120:O120" si="60">M313</f>
        <v>64373</v>
      </c>
      <c r="N120" s="40">
        <f t="shared" si="60"/>
        <v>63948</v>
      </c>
      <c r="O120" s="40">
        <f t="shared" si="60"/>
        <v>63514.666666666664</v>
      </c>
    </row>
    <row r="121" spans="2:15">
      <c r="B121" s="11"/>
      <c r="C121" t="s">
        <v>94</v>
      </c>
      <c r="F121" s="24">
        <v>91294</v>
      </c>
      <c r="G121" s="24">
        <v>94089</v>
      </c>
      <c r="H121" s="24">
        <v>102748</v>
      </c>
      <c r="I121" s="24">
        <v>106870</v>
      </c>
      <c r="J121" s="24">
        <v>123324</v>
      </c>
      <c r="K121" s="159">
        <f>J121</f>
        <v>123324</v>
      </c>
      <c r="L121" s="159">
        <f t="shared" ref="L121:O121" si="61">K121</f>
        <v>123324</v>
      </c>
      <c r="M121" s="159">
        <f t="shared" si="61"/>
        <v>123324</v>
      </c>
      <c r="N121" s="159">
        <f t="shared" si="61"/>
        <v>123324</v>
      </c>
      <c r="O121" s="159">
        <f t="shared" si="61"/>
        <v>123324</v>
      </c>
    </row>
    <row r="122" spans="2:15">
      <c r="B122" s="11"/>
      <c r="C122" t="s">
        <v>95</v>
      </c>
      <c r="F122" s="24">
        <f>SUM(F118:F121)</f>
        <v>282304</v>
      </c>
      <c r="G122" s="24">
        <f t="shared" ref="G122:I122" si="62">SUM(G118:G121)</f>
        <v>316632</v>
      </c>
      <c r="H122" s="24">
        <f t="shared" si="62"/>
        <v>325979</v>
      </c>
      <c r="I122" s="24">
        <f t="shared" si="62"/>
        <v>338924</v>
      </c>
      <c r="J122" s="24">
        <f>SUM(J118:J121)</f>
        <v>406977</v>
      </c>
      <c r="K122" s="40">
        <f>SUM(K118:K121)</f>
        <v>384268.62465753424</v>
      </c>
      <c r="L122" s="40">
        <f>SUM(L118:L121)</f>
        <v>411208.79643835616</v>
      </c>
      <c r="M122" s="40">
        <f t="shared" ref="M122:O122" si="63">SUM(M118:M121)</f>
        <v>400370.55113041098</v>
      </c>
      <c r="N122" s="40">
        <f t="shared" si="63"/>
        <v>402277.10215301916</v>
      </c>
      <c r="O122" s="40">
        <f t="shared" si="63"/>
        <v>408714.07249963813</v>
      </c>
    </row>
    <row r="123" spans="2:15">
      <c r="B123" s="11"/>
      <c r="F123" s="24"/>
      <c r="G123" s="24"/>
      <c r="H123" s="24"/>
      <c r="I123" s="24"/>
      <c r="J123" s="24"/>
      <c r="K123" s="31"/>
      <c r="L123" s="31"/>
      <c r="M123" s="31"/>
      <c r="N123" s="31"/>
      <c r="O123" s="31"/>
    </row>
    <row r="124" spans="2:15">
      <c r="B124" s="11"/>
      <c r="F124" s="96"/>
      <c r="G124" s="96"/>
      <c r="H124" s="96"/>
      <c r="I124" s="96"/>
      <c r="J124" s="96"/>
    </row>
    <row r="125" spans="2:15">
      <c r="B125" s="11" t="s">
        <v>96</v>
      </c>
      <c r="F125" s="24"/>
      <c r="G125" s="24"/>
      <c r="H125" s="24"/>
      <c r="I125" s="24"/>
      <c r="J125" s="24"/>
      <c r="K125" s="31"/>
      <c r="L125" s="31"/>
      <c r="M125" s="31"/>
      <c r="N125" s="31"/>
      <c r="O125" s="31"/>
    </row>
    <row r="126" spans="2:15">
      <c r="B126" s="11"/>
      <c r="C126" t="s">
        <v>97</v>
      </c>
      <c r="F126" s="24">
        <v>52330</v>
      </c>
      <c r="G126" s="24">
        <v>62850</v>
      </c>
      <c r="H126" s="24">
        <v>88257</v>
      </c>
      <c r="I126" s="24">
        <v>113104</v>
      </c>
      <c r="J126" s="24">
        <v>160529</v>
      </c>
      <c r="K126" s="40">
        <f>K373</f>
        <v>158029</v>
      </c>
      <c r="L126" s="40">
        <f>L373</f>
        <v>155529</v>
      </c>
      <c r="M126" s="40">
        <f t="shared" ref="M126:O126" si="64">M373</f>
        <v>153029</v>
      </c>
      <c r="N126" s="40">
        <f t="shared" si="64"/>
        <v>150529</v>
      </c>
      <c r="O126" s="40">
        <f t="shared" si="64"/>
        <v>148029</v>
      </c>
    </row>
    <row r="127" spans="2:15">
      <c r="C127" t="s">
        <v>98</v>
      </c>
      <c r="F127" s="24">
        <v>85915</v>
      </c>
      <c r="G127" s="24">
        <v>83193</v>
      </c>
      <c r="H127" s="24">
        <v>113618</v>
      </c>
      <c r="I127" s="24">
        <v>172866</v>
      </c>
      <c r="J127" s="24">
        <v>250536</v>
      </c>
      <c r="K127" s="40">
        <f>K388</f>
        <v>325063.21799999988</v>
      </c>
      <c r="L127" s="40">
        <f>L388</f>
        <v>407694.60425999988</v>
      </c>
      <c r="M127" s="40">
        <f t="shared" ref="M127:O127" si="65">M388</f>
        <v>497087.6427079498</v>
      </c>
      <c r="N127" s="40">
        <f t="shared" si="65"/>
        <v>593518.06456033443</v>
      </c>
      <c r="O127" s="40">
        <f t="shared" si="65"/>
        <v>697870.29985860141</v>
      </c>
    </row>
    <row r="128" spans="2:15">
      <c r="C128" t="s">
        <v>99</v>
      </c>
      <c r="F128" s="24">
        <f>SUM(F126:F127)</f>
        <v>138245</v>
      </c>
      <c r="G128" s="24">
        <f t="shared" ref="G128:I128" si="66">SUM(G126:G127)</f>
        <v>146043</v>
      </c>
      <c r="H128" s="24">
        <f t="shared" si="66"/>
        <v>201875</v>
      </c>
      <c r="I128" s="24">
        <f t="shared" si="66"/>
        <v>285970</v>
      </c>
      <c r="J128" s="24">
        <f>SUM(J126:J127)</f>
        <v>411065</v>
      </c>
      <c r="K128" s="40">
        <f>SUM(K126:K127)</f>
        <v>483092.21799999988</v>
      </c>
      <c r="L128" s="40">
        <f t="shared" ref="L128:O128" si="67">SUM(L126:L127)</f>
        <v>563223.60425999993</v>
      </c>
      <c r="M128" s="40">
        <f t="shared" si="67"/>
        <v>650116.64270794974</v>
      </c>
      <c r="N128" s="40">
        <f t="shared" si="67"/>
        <v>744047.06456033443</v>
      </c>
      <c r="O128" s="40">
        <f t="shared" si="67"/>
        <v>845899.29985860141</v>
      </c>
    </row>
    <row r="129" spans="1:29">
      <c r="B129" s="33" t="s">
        <v>100</v>
      </c>
      <c r="C129" s="33"/>
      <c r="D129" s="33"/>
      <c r="E129" s="33"/>
      <c r="F129" s="51"/>
      <c r="G129" s="52"/>
      <c r="H129" s="52"/>
      <c r="I129" s="52"/>
      <c r="J129" s="52"/>
      <c r="K129" s="52"/>
      <c r="L129" s="52"/>
      <c r="M129" s="52"/>
      <c r="N129" s="52"/>
      <c r="O129" s="52"/>
    </row>
    <row r="130" spans="1:29" ht="15" thickBot="1">
      <c r="F130" s="24"/>
      <c r="G130" s="24"/>
      <c r="H130" s="24"/>
      <c r="I130" s="24"/>
      <c r="J130" s="24"/>
      <c r="K130" s="31"/>
      <c r="L130" s="31"/>
      <c r="M130" s="31"/>
      <c r="N130" s="31"/>
      <c r="O130" s="31"/>
    </row>
    <row r="131" spans="1:29" ht="15" thickBot="1">
      <c r="C131" t="s">
        <v>101</v>
      </c>
      <c r="F131" s="46">
        <f>SUM(,F128,F122)</f>
        <v>420549</v>
      </c>
      <c r="G131" s="46">
        <f t="shared" ref="G131:L131" si="68">SUM(,G128,G122)</f>
        <v>462675</v>
      </c>
      <c r="H131" s="46">
        <f t="shared" si="68"/>
        <v>527854</v>
      </c>
      <c r="I131" s="46">
        <f t="shared" si="68"/>
        <v>624894</v>
      </c>
      <c r="J131" s="46">
        <f t="shared" si="68"/>
        <v>818042</v>
      </c>
      <c r="K131" s="46">
        <f>SUM(,K128,K122)</f>
        <v>867360.84265753417</v>
      </c>
      <c r="L131" s="46">
        <f t="shared" si="68"/>
        <v>974432.4006983561</v>
      </c>
      <c r="M131" s="46">
        <f t="shared" ref="M131:O131" si="69">SUM(,M128,M122)</f>
        <v>1050487.1938383607</v>
      </c>
      <c r="N131" s="46">
        <f t="shared" si="69"/>
        <v>1146324.1667133537</v>
      </c>
      <c r="O131" s="46">
        <f t="shared" si="69"/>
        <v>1254613.3723582395</v>
      </c>
    </row>
    <row r="132" spans="1:29">
      <c r="C132" s="28"/>
    </row>
    <row r="133" spans="1:29">
      <c r="B133" s="11" t="s">
        <v>102</v>
      </c>
      <c r="F133" s="53" t="str">
        <f>IF(ABS(F109-F131)=0,"Balanced",F131-F109)</f>
        <v>Balanced</v>
      </c>
      <c r="G133" s="53" t="str">
        <f t="shared" ref="G133:L133" si="70">IF(ABS(G109-G131)=0,"Balanced",G131-G109)</f>
        <v>Balanced</v>
      </c>
      <c r="H133" s="53" t="str">
        <f t="shared" si="70"/>
        <v>Balanced</v>
      </c>
      <c r="I133" s="53" t="str">
        <f t="shared" si="70"/>
        <v>Balanced</v>
      </c>
      <c r="J133" s="53" t="str">
        <f t="shared" si="70"/>
        <v>Balanced</v>
      </c>
      <c r="K133" s="53" t="str">
        <f>IF(ABS(K109-K131)=0,"Balanced",K131-K109)</f>
        <v>Balanced</v>
      </c>
      <c r="L133" s="53" t="str">
        <f t="shared" si="70"/>
        <v>Balanced</v>
      </c>
      <c r="M133" s="53" t="str">
        <f t="shared" ref="M133:O133" si="71">IF(ABS(M109-M131)=0,"Balanced",M131-M109)</f>
        <v>Balanced</v>
      </c>
      <c r="N133" s="53" t="str">
        <f t="shared" si="71"/>
        <v>Balanced</v>
      </c>
      <c r="O133" s="53">
        <f t="shared" si="71"/>
        <v>-2.3283064365386963E-10</v>
      </c>
    </row>
    <row r="135" spans="1:29" ht="46.2">
      <c r="A135" s="21" t="s">
        <v>103</v>
      </c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</row>
    <row r="136" spans="1:29" ht="46.2" customHeight="1"/>
    <row r="137" spans="1:29" ht="46.2" customHeight="1"/>
    <row r="138" spans="1:29">
      <c r="C138" s="1" t="s">
        <v>246</v>
      </c>
    </row>
    <row r="139" spans="1:29">
      <c r="C139" s="1"/>
    </row>
    <row r="140" spans="1:29">
      <c r="C140" s="1"/>
      <c r="F140" s="27">
        <f>F89</f>
        <v>2021</v>
      </c>
      <c r="G140" s="27">
        <f t="shared" ref="G140:L140" si="72">G89</f>
        <v>2022</v>
      </c>
      <c r="H140" s="27">
        <f t="shared" si="72"/>
        <v>2023</v>
      </c>
      <c r="I140" s="27">
        <f t="shared" si="72"/>
        <v>2024</v>
      </c>
      <c r="J140" s="27">
        <f t="shared" si="72"/>
        <v>2025</v>
      </c>
      <c r="K140" s="27" t="str">
        <f t="shared" si="72"/>
        <v>2026F</v>
      </c>
      <c r="L140" s="27" t="str">
        <f t="shared" si="72"/>
        <v>2027F</v>
      </c>
      <c r="M140" s="27" t="str">
        <f>M89</f>
        <v>2028F</v>
      </c>
      <c r="N140" s="27" t="str">
        <f t="shared" ref="N140:O140" si="73">N89</f>
        <v>2029F</v>
      </c>
      <c r="O140" s="27" t="str">
        <f t="shared" si="73"/>
        <v>2030F</v>
      </c>
    </row>
    <row r="141" spans="1:29">
      <c r="B141" s="11"/>
      <c r="F141" s="19"/>
      <c r="G141" s="19"/>
      <c r="H141" s="19"/>
      <c r="I141" s="19"/>
      <c r="J141" s="19"/>
      <c r="K141" s="19"/>
      <c r="L141" s="19"/>
    </row>
    <row r="142" spans="1:29">
      <c r="B142" s="11" t="s">
        <v>41</v>
      </c>
      <c r="F142" s="24">
        <f>F9</f>
        <v>469822</v>
      </c>
      <c r="G142" s="24">
        <f t="shared" ref="G142:J142" si="74">G9</f>
        <v>513983</v>
      </c>
      <c r="H142" s="24">
        <f t="shared" si="74"/>
        <v>574785</v>
      </c>
      <c r="I142" s="24">
        <f t="shared" si="74"/>
        <v>637959</v>
      </c>
      <c r="J142" s="24">
        <f t="shared" si="74"/>
        <v>716924</v>
      </c>
      <c r="K142" s="31">
        <f>K160</f>
        <v>734847.09999999986</v>
      </c>
      <c r="L142" s="31">
        <f>L160</f>
        <v>756892.51300000004</v>
      </c>
      <c r="M142" s="31">
        <f t="shared" ref="M142:O142" si="75">M160</f>
        <v>777707.05710750003</v>
      </c>
      <c r="N142" s="31">
        <f t="shared" si="75"/>
        <v>799094.00117795635</v>
      </c>
      <c r="O142" s="31">
        <f t="shared" si="75"/>
        <v>821734.99787799839</v>
      </c>
    </row>
    <row r="143" spans="1:29">
      <c r="B143" s="11" t="s">
        <v>104</v>
      </c>
      <c r="F143" s="31"/>
      <c r="G143" s="31"/>
      <c r="H143" s="31"/>
      <c r="I143" s="31"/>
      <c r="J143" s="31"/>
      <c r="K143" s="31"/>
      <c r="L143" s="31"/>
      <c r="M143" s="31"/>
      <c r="N143" s="31"/>
      <c r="O143" s="31"/>
    </row>
    <row r="144" spans="1:29">
      <c r="B144" s="11"/>
      <c r="F144" s="31"/>
      <c r="G144" s="54"/>
      <c r="H144" s="54"/>
      <c r="I144" s="54"/>
      <c r="J144" s="54"/>
      <c r="K144" s="26"/>
      <c r="L144" s="26"/>
      <c r="M144" s="26"/>
      <c r="N144" s="26"/>
      <c r="O144" s="26"/>
    </row>
    <row r="145" spans="2:24">
      <c r="B145" s="11" t="s">
        <v>171</v>
      </c>
      <c r="F145" s="31"/>
      <c r="G145" s="100">
        <f>G142/F142-1</f>
        <v>9.399517263985091E-2</v>
      </c>
      <c r="H145" s="100">
        <f t="shared" ref="H145:J145" si="76">H142/G142-1</f>
        <v>0.1182957412988368</v>
      </c>
      <c r="I145" s="100">
        <f t="shared" si="76"/>
        <v>0.1099089224666614</v>
      </c>
      <c r="J145" s="100">
        <f t="shared" si="76"/>
        <v>0.12377754683294695</v>
      </c>
      <c r="K145" s="26">
        <f>Input!G9</f>
        <v>2.5000000000000001E-2</v>
      </c>
      <c r="L145" s="26">
        <f>Input!H9</f>
        <v>0.03</v>
      </c>
      <c r="M145" s="26">
        <f>Input!I9</f>
        <v>2.75E-2</v>
      </c>
      <c r="N145" s="26">
        <f>Input!J9</f>
        <v>2.75E-2</v>
      </c>
      <c r="O145" s="26">
        <f>Input!K9</f>
        <v>2.8333333333333332E-2</v>
      </c>
    </row>
    <row r="146" spans="2:24">
      <c r="B146" s="11"/>
      <c r="F146" s="55"/>
      <c r="G146" s="56"/>
      <c r="H146" s="56"/>
      <c r="I146" s="56"/>
      <c r="J146" s="56"/>
      <c r="K146" s="56"/>
      <c r="L146" s="56"/>
      <c r="M146" s="56"/>
      <c r="N146" s="56"/>
      <c r="O146" s="56"/>
    </row>
    <row r="147" spans="2:24">
      <c r="B147" s="11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V147" s="57"/>
      <c r="W147" s="26"/>
      <c r="X147" s="26"/>
    </row>
    <row r="148" spans="2:24">
      <c r="B148" s="11"/>
      <c r="F148" s="58"/>
      <c r="G148" s="101"/>
      <c r="H148" s="101"/>
      <c r="I148" s="101"/>
      <c r="J148" s="101"/>
      <c r="K148" s="58"/>
      <c r="L148" s="58"/>
      <c r="M148" s="58"/>
      <c r="N148" s="58"/>
      <c r="O148" s="58"/>
    </row>
    <row r="149" spans="2:24">
      <c r="B149" s="11"/>
      <c r="C149" t="s">
        <v>172</v>
      </c>
      <c r="F149" s="31"/>
      <c r="G149" s="56">
        <f>H149/(1+G145)</f>
        <v>233901.39773883572</v>
      </c>
      <c r="H149" s="56">
        <v>255887</v>
      </c>
      <c r="I149" s="56">
        <v>272311</v>
      </c>
      <c r="J149" s="56">
        <v>296266</v>
      </c>
      <c r="K149" s="31">
        <f>J149*(1+K145)</f>
        <v>303672.64999999997</v>
      </c>
      <c r="L149" s="31">
        <f>K149*(1+L145)</f>
        <v>312782.82949999999</v>
      </c>
      <c r="M149" s="31">
        <f t="shared" ref="M149:O149" si="77">L149*(1+M145)</f>
        <v>321384.35731125</v>
      </c>
      <c r="N149" s="31">
        <f t="shared" si="77"/>
        <v>330222.42713730939</v>
      </c>
      <c r="O149" s="31">
        <f t="shared" si="77"/>
        <v>339578.72923953313</v>
      </c>
      <c r="S149" s="54"/>
    </row>
    <row r="150" spans="2:24">
      <c r="B150" s="11"/>
      <c r="F150" s="31"/>
      <c r="G150" s="96"/>
      <c r="H150" s="56"/>
      <c r="I150" s="56"/>
      <c r="J150" s="56"/>
      <c r="K150" s="31"/>
      <c r="L150" s="31"/>
      <c r="M150" s="31"/>
      <c r="N150" s="31"/>
      <c r="O150" s="31"/>
    </row>
    <row r="151" spans="2:24">
      <c r="B151" s="11"/>
      <c r="C151" t="s">
        <v>173</v>
      </c>
      <c r="F151" s="31"/>
      <c r="G151" s="56">
        <f>H151/(1+G145)</f>
        <v>291498.54402966634</v>
      </c>
      <c r="H151" s="56">
        <v>318898</v>
      </c>
      <c r="I151" s="56">
        <v>365648</v>
      </c>
      <c r="J151" s="56">
        <v>420658</v>
      </c>
      <c r="K151" s="31">
        <f>J151*(1+K145)</f>
        <v>431174.44999999995</v>
      </c>
      <c r="L151" s="31">
        <f>K151*(1+L145)</f>
        <v>444109.68349999998</v>
      </c>
      <c r="M151" s="31">
        <f t="shared" ref="M151:O151" si="78">L151*(1+M145)</f>
        <v>456322.69979625003</v>
      </c>
      <c r="N151" s="31">
        <f t="shared" si="78"/>
        <v>468871.57404064696</v>
      </c>
      <c r="O151" s="31">
        <f t="shared" si="78"/>
        <v>482156.26863846526</v>
      </c>
    </row>
    <row r="152" spans="2:24">
      <c r="B152" s="11"/>
      <c r="F152" s="31"/>
      <c r="G152" s="56"/>
      <c r="H152" s="56"/>
      <c r="I152" s="56"/>
      <c r="J152" s="56"/>
      <c r="K152" s="31"/>
      <c r="L152" s="31"/>
      <c r="M152" s="31"/>
      <c r="N152" s="31"/>
      <c r="O152" s="31"/>
    </row>
    <row r="153" spans="2:24">
      <c r="B153" s="11"/>
      <c r="C153" t="s">
        <v>174</v>
      </c>
      <c r="F153" s="31"/>
      <c r="G153" s="102"/>
      <c r="H153" s="102">
        <f>H149/G149-1</f>
        <v>9.399517263985091E-2</v>
      </c>
      <c r="I153" s="102">
        <f>I149/H149-1</f>
        <v>6.4184581475416946E-2</v>
      </c>
      <c r="J153" s="102">
        <f>J149/I149-1</f>
        <v>8.7969270429765878E-2</v>
      </c>
      <c r="K153" s="54">
        <f>K149/J149-1</f>
        <v>2.4999999999999911E-2</v>
      </c>
      <c r="L153" s="54">
        <f>L149/K149-1</f>
        <v>3.0000000000000027E-2</v>
      </c>
      <c r="M153" s="54">
        <f t="shared" ref="M153:O153" si="79">M149/L149-1</f>
        <v>2.750000000000008E-2</v>
      </c>
      <c r="N153" s="54">
        <f t="shared" si="79"/>
        <v>2.750000000000008E-2</v>
      </c>
      <c r="O153" s="54">
        <f t="shared" si="79"/>
        <v>2.8333333333333321E-2</v>
      </c>
    </row>
    <row r="154" spans="2:24">
      <c r="B154" s="11"/>
      <c r="F154" s="24"/>
      <c r="G154" s="24"/>
      <c r="H154" s="24"/>
      <c r="I154" s="12"/>
      <c r="J154" s="12"/>
      <c r="K154" s="12"/>
      <c r="L154" s="12"/>
      <c r="M154" s="12"/>
      <c r="N154" s="12"/>
      <c r="O154" s="12"/>
    </row>
    <row r="155" spans="2:24">
      <c r="B155" s="11"/>
      <c r="C155" t="s">
        <v>175</v>
      </c>
      <c r="F155" s="24"/>
      <c r="G155" s="24"/>
      <c r="H155" s="102">
        <f>H151/G151-1</f>
        <v>9.399517263985091E-2</v>
      </c>
      <c r="I155" s="102">
        <f>I151/H151-1</f>
        <v>0.14659859892504823</v>
      </c>
      <c r="J155" s="102">
        <f>J151/I151-1</f>
        <v>0.15044523694919709</v>
      </c>
      <c r="K155" s="54">
        <f>K151/J151-1</f>
        <v>2.4999999999999911E-2</v>
      </c>
      <c r="L155" s="54">
        <f>L151/K151-1</f>
        <v>3.0000000000000027E-2</v>
      </c>
      <c r="M155" s="54">
        <f t="shared" ref="M155:O155" si="80">M151/L151-1</f>
        <v>2.750000000000008E-2</v>
      </c>
      <c r="N155" s="54">
        <f t="shared" si="80"/>
        <v>2.750000000000008E-2</v>
      </c>
      <c r="O155" s="54">
        <f t="shared" si="80"/>
        <v>2.8333333333333321E-2</v>
      </c>
    </row>
    <row r="156" spans="2:24">
      <c r="B156" s="11"/>
      <c r="F156" s="31"/>
      <c r="G156" s="31"/>
      <c r="H156" s="31"/>
      <c r="I156" s="31"/>
      <c r="J156" s="31"/>
      <c r="K156" s="31"/>
      <c r="L156" s="31"/>
      <c r="M156" s="31"/>
      <c r="N156" s="31"/>
      <c r="O156" s="31"/>
    </row>
    <row r="157" spans="2:24">
      <c r="B157" s="11"/>
      <c r="F157" s="31"/>
      <c r="G157" s="31"/>
      <c r="H157" s="31"/>
      <c r="I157" s="31"/>
      <c r="J157" s="31"/>
      <c r="K157" s="31"/>
      <c r="L157" s="31"/>
      <c r="M157" s="31"/>
      <c r="N157" s="31"/>
      <c r="O157" s="31"/>
    </row>
    <row r="158" spans="2:24">
      <c r="B158" s="11" t="s">
        <v>172</v>
      </c>
      <c r="F158" s="31"/>
      <c r="G158" s="31"/>
      <c r="H158" s="31"/>
      <c r="I158" s="56">
        <f>I149</f>
        <v>272311</v>
      </c>
      <c r="J158" s="56">
        <f>J149</f>
        <v>296266</v>
      </c>
      <c r="K158" s="31">
        <f t="shared" ref="K158:L158" si="81">K149</f>
        <v>303672.64999999997</v>
      </c>
      <c r="L158" s="31">
        <f t="shared" si="81"/>
        <v>312782.82949999999</v>
      </c>
      <c r="M158" s="31">
        <f t="shared" ref="M158:O158" si="82">M149</f>
        <v>321384.35731125</v>
      </c>
      <c r="N158" s="31">
        <f t="shared" si="82"/>
        <v>330222.42713730939</v>
      </c>
      <c r="O158" s="31">
        <f t="shared" si="82"/>
        <v>339578.72923953313</v>
      </c>
    </row>
    <row r="159" spans="2:24" ht="15" thickBot="1">
      <c r="B159" s="11" t="s">
        <v>173</v>
      </c>
      <c r="F159" s="31"/>
      <c r="G159" s="31"/>
      <c r="H159" s="31"/>
      <c r="I159" s="56">
        <f>I151</f>
        <v>365648</v>
      </c>
      <c r="J159" s="56">
        <f>J151</f>
        <v>420658</v>
      </c>
      <c r="K159" s="31">
        <f t="shared" ref="K159:L159" si="83">K151</f>
        <v>431174.44999999995</v>
      </c>
      <c r="L159" s="31">
        <f t="shared" si="83"/>
        <v>444109.68349999998</v>
      </c>
      <c r="M159" s="31">
        <f t="shared" ref="M159:O159" si="84">M151</f>
        <v>456322.69979625003</v>
      </c>
      <c r="N159" s="31">
        <f t="shared" si="84"/>
        <v>468871.57404064696</v>
      </c>
      <c r="O159" s="31">
        <f t="shared" si="84"/>
        <v>482156.26863846526</v>
      </c>
    </row>
    <row r="160" spans="2:24" ht="15" thickBot="1">
      <c r="B160" s="11" t="s">
        <v>176</v>
      </c>
      <c r="F160" s="31"/>
      <c r="G160" s="103"/>
      <c r="H160" s="31"/>
      <c r="I160" s="59">
        <f>SUM(I158:I159)</f>
        <v>637959</v>
      </c>
      <c r="J160" s="47">
        <f>SUM(J158:J159)</f>
        <v>716924</v>
      </c>
      <c r="K160" s="47">
        <f t="shared" ref="K160:L160" si="85">SUM(K158:K159)</f>
        <v>734847.09999999986</v>
      </c>
      <c r="L160" s="48">
        <f t="shared" si="85"/>
        <v>756892.51300000004</v>
      </c>
      <c r="M160" s="48">
        <f t="shared" ref="M160:O160" si="86">SUM(M158:M159)</f>
        <v>777707.05710750003</v>
      </c>
      <c r="N160" s="48">
        <f t="shared" si="86"/>
        <v>799094.00117795635</v>
      </c>
      <c r="O160" s="48">
        <f t="shared" si="86"/>
        <v>821734.99787799839</v>
      </c>
    </row>
    <row r="161" spans="1:32">
      <c r="B161" s="11"/>
      <c r="G161" s="31"/>
      <c r="H161" s="31"/>
      <c r="I161" s="31"/>
      <c r="J161" s="31"/>
      <c r="K161" s="31"/>
      <c r="L161" s="31"/>
      <c r="M161" s="31"/>
      <c r="N161" s="31"/>
      <c r="O161" s="31"/>
    </row>
    <row r="162" spans="1:32">
      <c r="B162" s="11"/>
      <c r="F162" s="31"/>
      <c r="G162" s="26"/>
      <c r="H162" s="26"/>
      <c r="I162" s="26"/>
      <c r="J162" s="26"/>
      <c r="K162" s="26"/>
      <c r="L162" s="26"/>
      <c r="M162" s="31"/>
      <c r="N162" s="31"/>
      <c r="O162" s="31"/>
    </row>
    <row r="163" spans="1:32">
      <c r="B163" s="11"/>
      <c r="F163" s="24"/>
      <c r="G163" s="24"/>
      <c r="H163" s="31"/>
      <c r="I163" s="31"/>
      <c r="J163" s="31"/>
      <c r="K163" s="31"/>
      <c r="L163" s="31"/>
      <c r="M163" s="31"/>
      <c r="N163" s="31"/>
      <c r="O163" s="31"/>
    </row>
    <row r="164" spans="1:32">
      <c r="B164" s="11"/>
      <c r="F164" s="31"/>
      <c r="G164" s="31"/>
      <c r="H164" s="31"/>
      <c r="I164" s="31"/>
      <c r="J164" s="31"/>
      <c r="K164" s="31"/>
      <c r="L164" s="31"/>
      <c r="M164" s="31"/>
      <c r="N164" s="31"/>
      <c r="O164" s="31"/>
    </row>
    <row r="165" spans="1:32" ht="46.2">
      <c r="A165" s="21" t="s">
        <v>107</v>
      </c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</row>
    <row r="166" spans="1:32" ht="46.2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</row>
    <row r="167" spans="1:32" ht="14.4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</row>
    <row r="168" spans="1:32" ht="14.4" customHeight="1">
      <c r="C168" s="1" t="s">
        <v>246</v>
      </c>
    </row>
    <row r="169" spans="1:32" ht="14.4" customHeight="1">
      <c r="C169" s="1"/>
    </row>
    <row r="170" spans="1:32">
      <c r="C170" s="1"/>
      <c r="F170" s="27">
        <f>F140</f>
        <v>2021</v>
      </c>
      <c r="G170" s="27">
        <f t="shared" ref="G170:L170" si="87">G140</f>
        <v>2022</v>
      </c>
      <c r="H170" s="27">
        <f t="shared" si="87"/>
        <v>2023</v>
      </c>
      <c r="I170" s="27">
        <f t="shared" si="87"/>
        <v>2024</v>
      </c>
      <c r="J170" s="27">
        <f t="shared" si="87"/>
        <v>2025</v>
      </c>
      <c r="K170" s="27" t="str">
        <f t="shared" si="87"/>
        <v>2026F</v>
      </c>
      <c r="L170" s="27" t="str">
        <f t="shared" si="87"/>
        <v>2027F</v>
      </c>
      <c r="M170" s="27" t="str">
        <f>M140</f>
        <v>2028F</v>
      </c>
      <c r="N170" s="27" t="str">
        <f t="shared" ref="N170:O170" si="88">N140</f>
        <v>2029F</v>
      </c>
      <c r="O170" s="27" t="str">
        <f t="shared" si="88"/>
        <v>2030F</v>
      </c>
    </row>
    <row r="171" spans="1:32">
      <c r="B171" s="11" t="s">
        <v>177</v>
      </c>
      <c r="C171" s="99"/>
      <c r="D171" s="99"/>
      <c r="E171" s="99"/>
      <c r="F171" s="24">
        <f>F94</f>
        <v>32891</v>
      </c>
      <c r="G171" s="24">
        <f>G94</f>
        <v>42360</v>
      </c>
      <c r="H171" s="24">
        <f>H94</f>
        <v>52253</v>
      </c>
      <c r="I171" s="24">
        <f>I94</f>
        <v>55451</v>
      </c>
      <c r="J171" s="24">
        <f>J94</f>
        <v>67729</v>
      </c>
      <c r="K171" s="40">
        <f>K193</f>
        <v>64424.951232876701</v>
      </c>
      <c r="L171" s="40">
        <f>L193</f>
        <v>72578.734123287679</v>
      </c>
      <c r="M171" s="40">
        <f t="shared" ref="M171:O171" si="89">M193</f>
        <v>71378.592912606167</v>
      </c>
      <c r="N171" s="40">
        <f t="shared" si="89"/>
        <v>73341.504217702837</v>
      </c>
      <c r="O171" s="40">
        <f t="shared" si="89"/>
        <v>76545.177884525881</v>
      </c>
    </row>
    <row r="173" spans="1:32">
      <c r="B173" s="11" t="s">
        <v>111</v>
      </c>
      <c r="C173" s="99"/>
      <c r="D173" s="99"/>
      <c r="E173" s="99"/>
      <c r="F173" s="24">
        <f>F95</f>
        <v>32640</v>
      </c>
      <c r="G173" s="24">
        <f>G95</f>
        <v>34405</v>
      </c>
      <c r="H173" s="24">
        <f>H95</f>
        <v>33318</v>
      </c>
      <c r="I173" s="24">
        <f>I95</f>
        <v>34214</v>
      </c>
      <c r="J173" s="24">
        <f>J95</f>
        <v>38325</v>
      </c>
      <c r="K173" s="108">
        <f>K194</f>
        <v>29880.187397260273</v>
      </c>
      <c r="L173" s="108">
        <f>L194</f>
        <v>35557.423002739728</v>
      </c>
      <c r="M173" s="108">
        <f t="shared" ref="M173:O173" si="90">M194</f>
        <v>33677.959215452058</v>
      </c>
      <c r="N173" s="108">
        <f t="shared" si="90"/>
        <v>34351.518399761102</v>
      </c>
      <c r="O173" s="108">
        <f t="shared" si="90"/>
        <v>35936.973095134694</v>
      </c>
    </row>
    <row r="174" spans="1:32">
      <c r="C174" s="1"/>
      <c r="F174" s="105"/>
      <c r="G174" s="106"/>
      <c r="H174" s="106"/>
      <c r="I174" s="106"/>
      <c r="J174" s="106"/>
      <c r="K174" s="106"/>
      <c r="L174" s="107"/>
      <c r="M174" s="107"/>
      <c r="N174" s="107"/>
      <c r="O174" s="107"/>
    </row>
    <row r="175" spans="1:32">
      <c r="B175" s="11" t="s">
        <v>178</v>
      </c>
      <c r="C175" s="99"/>
      <c r="D175" s="99"/>
      <c r="E175" s="99"/>
      <c r="F175" s="24">
        <f>F113</f>
        <v>78664</v>
      </c>
      <c r="G175" s="24">
        <f>G113</f>
        <v>79600</v>
      </c>
      <c r="H175" s="24">
        <f>H113</f>
        <v>84981</v>
      </c>
      <c r="I175" s="24">
        <f>I113</f>
        <v>94363</v>
      </c>
      <c r="J175" s="24">
        <f>J113</f>
        <v>121909</v>
      </c>
      <c r="K175" s="109">
        <f>K195</f>
        <v>99600.624657534252</v>
      </c>
      <c r="L175" s="109">
        <f>L195</f>
        <v>126990.79643835618</v>
      </c>
      <c r="M175" s="109">
        <f t="shared" ref="M175:O175" si="91">M195</f>
        <v>116577.55113041097</v>
      </c>
      <c r="N175" s="109">
        <f t="shared" si="91"/>
        <v>118909.10215301919</v>
      </c>
      <c r="O175" s="109">
        <f t="shared" si="91"/>
        <v>125779.40583297143</v>
      </c>
    </row>
    <row r="176" spans="1:32">
      <c r="C176" s="1"/>
      <c r="F176" s="105">
        <v>0</v>
      </c>
      <c r="G176" s="106"/>
      <c r="H176" s="106"/>
      <c r="I176" s="106"/>
      <c r="J176" s="106"/>
      <c r="K176" s="106"/>
      <c r="L176" s="107"/>
      <c r="M176" s="107"/>
      <c r="N176" s="107"/>
      <c r="O176" s="107"/>
    </row>
    <row r="178" spans="2:15">
      <c r="B178" s="11" t="s">
        <v>105</v>
      </c>
      <c r="F178" s="60">
        <v>365</v>
      </c>
      <c r="G178" s="60">
        <v>365</v>
      </c>
      <c r="H178" s="60">
        <v>365</v>
      </c>
      <c r="I178" s="60">
        <v>365</v>
      </c>
      <c r="J178" s="60">
        <v>365</v>
      </c>
      <c r="K178" s="60">
        <v>365</v>
      </c>
      <c r="L178" s="60">
        <v>365</v>
      </c>
      <c r="M178" s="60">
        <v>365</v>
      </c>
      <c r="N178" s="60">
        <v>365</v>
      </c>
      <c r="O178" s="60">
        <v>365</v>
      </c>
    </row>
    <row r="179" spans="2:15">
      <c r="B179" s="11" t="s">
        <v>41</v>
      </c>
      <c r="F179" s="24">
        <f>F142</f>
        <v>469822</v>
      </c>
      <c r="G179" s="24">
        <f t="shared" ref="G179:L179" si="92">G142</f>
        <v>513983</v>
      </c>
      <c r="H179" s="24">
        <f t="shared" si="92"/>
        <v>574785</v>
      </c>
      <c r="I179" s="24">
        <f t="shared" si="92"/>
        <v>637959</v>
      </c>
      <c r="J179" s="24">
        <f t="shared" si="92"/>
        <v>716924</v>
      </c>
      <c r="K179" s="40">
        <f t="shared" si="92"/>
        <v>734847.09999999986</v>
      </c>
      <c r="L179" s="40">
        <f t="shared" si="92"/>
        <v>756892.51300000004</v>
      </c>
      <c r="M179" s="40">
        <f t="shared" ref="M179:O179" si="93">M142</f>
        <v>777707.05710750003</v>
      </c>
      <c r="N179" s="40">
        <f t="shared" si="93"/>
        <v>799094.00117795635</v>
      </c>
      <c r="O179" s="40">
        <f t="shared" si="93"/>
        <v>821734.99787799839</v>
      </c>
    </row>
    <row r="180" spans="2:15">
      <c r="B180" s="11" t="s">
        <v>42</v>
      </c>
      <c r="F180" s="24">
        <f>-F10</f>
        <v>272344</v>
      </c>
      <c r="G180" s="24">
        <f t="shared" ref="G180:L180" si="94">-G10</f>
        <v>288831</v>
      </c>
      <c r="H180" s="24">
        <f t="shared" si="94"/>
        <v>304739</v>
      </c>
      <c r="I180" s="24">
        <f t="shared" si="94"/>
        <v>326288</v>
      </c>
      <c r="J180" s="24">
        <f t="shared" si="94"/>
        <v>356414</v>
      </c>
      <c r="K180" s="40">
        <f t="shared" si="94"/>
        <v>363542.28</v>
      </c>
      <c r="L180" s="40">
        <f t="shared" si="94"/>
        <v>370813.12560000003</v>
      </c>
      <c r="M180" s="40">
        <f t="shared" ref="M180:O180" si="95">-M10</f>
        <v>378229.38811200002</v>
      </c>
      <c r="N180" s="40">
        <f t="shared" si="95"/>
        <v>385793.97587424004</v>
      </c>
      <c r="O180" s="40">
        <f t="shared" si="95"/>
        <v>393509.85539172485</v>
      </c>
    </row>
    <row r="182" spans="2:15">
      <c r="K182" s="104"/>
      <c r="L182" s="104"/>
      <c r="M182" s="104"/>
      <c r="N182" s="104"/>
      <c r="O182" s="104"/>
    </row>
    <row r="183" spans="2:15">
      <c r="K183" s="104"/>
      <c r="L183" s="104"/>
      <c r="M183" s="104"/>
      <c r="N183" s="104"/>
      <c r="O183" s="104"/>
    </row>
    <row r="184" spans="2:15">
      <c r="B184" s="11" t="s">
        <v>108</v>
      </c>
      <c r="F184" s="31"/>
      <c r="G184" s="31"/>
      <c r="H184" s="31"/>
      <c r="I184" s="31"/>
      <c r="J184" s="31"/>
      <c r="K184" s="31"/>
      <c r="L184" s="31"/>
      <c r="M184" s="31"/>
      <c r="N184" s="31"/>
      <c r="O184" s="31"/>
    </row>
    <row r="185" spans="2:15">
      <c r="B185" s="11"/>
      <c r="C185" t="s">
        <v>109</v>
      </c>
      <c r="D185" t="s">
        <v>110</v>
      </c>
      <c r="F185" s="24">
        <f>F171*F178/F179</f>
        <v>25.552688039299991</v>
      </c>
      <c r="G185" s="24">
        <f>G171*G178/G179</f>
        <v>30.081539661817608</v>
      </c>
      <c r="H185" s="24">
        <f>H171*H178/H179</f>
        <v>33.181702723627097</v>
      </c>
      <c r="I185" s="24">
        <f>I171*I178/I179</f>
        <v>31.725573273517576</v>
      </c>
      <c r="J185" s="24">
        <f>J171*J178/J179</f>
        <v>34.482155709670764</v>
      </c>
      <c r="K185" s="61">
        <f>Input!G53</f>
        <v>32</v>
      </c>
      <c r="L185" s="61">
        <f>Input!H53</f>
        <v>35</v>
      </c>
      <c r="M185" s="61">
        <f>Input!I53</f>
        <v>33.5</v>
      </c>
      <c r="N185" s="61">
        <f>Input!J53</f>
        <v>33.5</v>
      </c>
      <c r="O185" s="61">
        <f>Input!K53</f>
        <v>34</v>
      </c>
    </row>
    <row r="186" spans="2:15">
      <c r="B186" s="11"/>
      <c r="C186" t="s">
        <v>111</v>
      </c>
      <c r="D186" t="s">
        <v>110</v>
      </c>
      <c r="F186" s="24">
        <f>F173*F178/F180</f>
        <v>43.74467585112945</v>
      </c>
      <c r="G186" s="24">
        <f>G173*G178/G180</f>
        <v>43.4781065744328</v>
      </c>
      <c r="H186" s="24">
        <f>H173*H178/H180</f>
        <v>39.906510161154301</v>
      </c>
      <c r="I186" s="24">
        <f>I173*I178/I180</f>
        <v>38.273273917520719</v>
      </c>
      <c r="J186" s="24">
        <f>J173*J178/J180</f>
        <v>39.248247824159542</v>
      </c>
      <c r="K186" s="62">
        <f>Input!G54</f>
        <v>30</v>
      </c>
      <c r="L186" s="62">
        <f>Input!H54</f>
        <v>35</v>
      </c>
      <c r="M186" s="62">
        <f>Input!I54</f>
        <v>32.5</v>
      </c>
      <c r="N186" s="62">
        <f>Input!J54</f>
        <v>32.5</v>
      </c>
      <c r="O186" s="62">
        <f>Input!K54</f>
        <v>33.333333333333336</v>
      </c>
    </row>
    <row r="187" spans="2:15">
      <c r="B187" s="11"/>
      <c r="C187" t="s">
        <v>90</v>
      </c>
      <c r="D187" t="s">
        <v>110</v>
      </c>
      <c r="F187" s="24">
        <f>F175*F178/F180</f>
        <v>105.42681314807743</v>
      </c>
      <c r="G187" s="24">
        <f>G175*G178/G180</f>
        <v>100.59169548975007</v>
      </c>
      <c r="H187" s="24">
        <f>H175*H178/H180</f>
        <v>101.78567561093263</v>
      </c>
      <c r="I187" s="24">
        <f>I175*I178/I180</f>
        <v>105.5585709557201</v>
      </c>
      <c r="J187" s="24">
        <f>J175*J178/J180</f>
        <v>124.84578327450662</v>
      </c>
      <c r="K187" s="62">
        <f>Input!G55</f>
        <v>100</v>
      </c>
      <c r="L187" s="62">
        <f>Input!H55</f>
        <v>125</v>
      </c>
      <c r="M187" s="62">
        <f>Input!I55</f>
        <v>112.5</v>
      </c>
      <c r="N187" s="62">
        <f>Input!J55</f>
        <v>112.5</v>
      </c>
      <c r="O187" s="62">
        <f>Input!K55</f>
        <v>116.66666666666667</v>
      </c>
    </row>
    <row r="188" spans="2:15">
      <c r="B188" s="11"/>
      <c r="F188" s="31"/>
      <c r="G188" s="31"/>
      <c r="H188" s="31"/>
      <c r="I188" s="31"/>
      <c r="J188" s="31"/>
      <c r="K188" s="31"/>
      <c r="L188" s="31"/>
      <c r="M188" s="31"/>
      <c r="N188" s="31"/>
      <c r="O188" s="31"/>
    </row>
    <row r="189" spans="2:15">
      <c r="B189" s="11"/>
      <c r="F189" s="31"/>
      <c r="G189" s="31"/>
      <c r="H189" s="31"/>
      <c r="I189" s="31"/>
      <c r="J189" s="31"/>
      <c r="K189" s="31"/>
      <c r="L189" s="31"/>
      <c r="M189" s="31"/>
      <c r="N189" s="31"/>
      <c r="O189" s="31"/>
    </row>
    <row r="190" spans="2:15">
      <c r="B190" s="11"/>
      <c r="F190" s="31"/>
      <c r="G190" s="31"/>
      <c r="H190" s="31"/>
      <c r="I190" s="31"/>
      <c r="J190" s="31"/>
      <c r="K190" s="31"/>
      <c r="L190" s="31"/>
      <c r="M190" s="31"/>
      <c r="N190" s="31"/>
      <c r="O190" s="31"/>
    </row>
    <row r="191" spans="2:15">
      <c r="B191" s="11"/>
      <c r="F191" s="31"/>
      <c r="G191" s="31"/>
      <c r="H191" s="31"/>
      <c r="I191" s="31"/>
      <c r="J191" s="31"/>
      <c r="K191" s="31"/>
      <c r="L191" s="31"/>
      <c r="M191" s="31"/>
      <c r="N191" s="31"/>
      <c r="O191" s="31"/>
    </row>
    <row r="192" spans="2:15">
      <c r="B192" s="11" t="s">
        <v>112</v>
      </c>
      <c r="F192" s="31"/>
      <c r="G192" s="31"/>
      <c r="H192" s="31"/>
      <c r="I192" s="31"/>
      <c r="J192" s="31"/>
      <c r="K192" s="31"/>
      <c r="L192" s="31"/>
      <c r="M192" s="31"/>
      <c r="N192" s="31"/>
      <c r="O192" s="31"/>
    </row>
    <row r="193" spans="1:32">
      <c r="B193" s="11"/>
      <c r="C193" t="s">
        <v>77</v>
      </c>
      <c r="F193" s="24">
        <f>F185*F179/F178</f>
        <v>32891</v>
      </c>
      <c r="G193" s="24">
        <f t="shared" ref="G193:I193" si="96">G185*G179/G178</f>
        <v>42360</v>
      </c>
      <c r="H193" s="24">
        <f t="shared" si="96"/>
        <v>52253</v>
      </c>
      <c r="I193" s="24">
        <f t="shared" si="96"/>
        <v>55451</v>
      </c>
      <c r="J193" s="24">
        <f>J185*J179/J178</f>
        <v>67729.000000000015</v>
      </c>
      <c r="K193" s="40">
        <f>K185*K179/K178</f>
        <v>64424.951232876701</v>
      </c>
      <c r="L193" s="40">
        <f>L185*L179/L178</f>
        <v>72578.734123287679</v>
      </c>
      <c r="M193" s="40">
        <f t="shared" ref="M193:O193" si="97">M185*M179/M178</f>
        <v>71378.592912606167</v>
      </c>
      <c r="N193" s="40">
        <f t="shared" si="97"/>
        <v>73341.504217702837</v>
      </c>
      <c r="O193" s="40">
        <f t="shared" si="97"/>
        <v>76545.177884525881</v>
      </c>
    </row>
    <row r="194" spans="1:32">
      <c r="B194" s="11"/>
      <c r="C194" t="s">
        <v>111</v>
      </c>
      <c r="F194" s="24">
        <f>F186*F180/F178</f>
        <v>32639.999999999996</v>
      </c>
      <c r="G194" s="24">
        <f t="shared" ref="G194:L194" si="98">G186*G180/G178</f>
        <v>34405</v>
      </c>
      <c r="H194" s="24">
        <f t="shared" si="98"/>
        <v>33318</v>
      </c>
      <c r="I194" s="24">
        <f t="shared" si="98"/>
        <v>34214</v>
      </c>
      <c r="J194" s="24">
        <f t="shared" si="98"/>
        <v>38324.999999999993</v>
      </c>
      <c r="K194" s="40">
        <f t="shared" si="98"/>
        <v>29880.187397260273</v>
      </c>
      <c r="L194" s="40">
        <f t="shared" si="98"/>
        <v>35557.423002739728</v>
      </c>
      <c r="M194" s="40">
        <f t="shared" ref="M194:O194" si="99">M186*M180/M178</f>
        <v>33677.959215452058</v>
      </c>
      <c r="N194" s="40">
        <f t="shared" si="99"/>
        <v>34351.518399761102</v>
      </c>
      <c r="O194" s="40">
        <f t="shared" si="99"/>
        <v>35936.973095134694</v>
      </c>
    </row>
    <row r="195" spans="1:32">
      <c r="B195" s="11"/>
      <c r="C195" t="s">
        <v>90</v>
      </c>
      <c r="F195" s="24">
        <f>F187*F180/F178</f>
        <v>78664</v>
      </c>
      <c r="G195" s="24">
        <f t="shared" ref="G195:L195" si="100">G187*G180/G178</f>
        <v>79600</v>
      </c>
      <c r="H195" s="24">
        <f t="shared" si="100"/>
        <v>84981</v>
      </c>
      <c r="I195" s="24">
        <f t="shared" si="100"/>
        <v>94363</v>
      </c>
      <c r="J195" s="24">
        <f t="shared" si="100"/>
        <v>121909</v>
      </c>
      <c r="K195" s="40">
        <f t="shared" si="100"/>
        <v>99600.624657534252</v>
      </c>
      <c r="L195" s="40">
        <f t="shared" si="100"/>
        <v>126990.79643835618</v>
      </c>
      <c r="M195" s="40">
        <f t="shared" ref="M195:O195" si="101">M187*M180/M178</f>
        <v>116577.55113041097</v>
      </c>
      <c r="N195" s="40">
        <f t="shared" si="101"/>
        <v>118909.10215301919</v>
      </c>
      <c r="O195" s="40">
        <f t="shared" si="101"/>
        <v>125779.40583297143</v>
      </c>
    </row>
    <row r="196" spans="1:32">
      <c r="B196" s="11"/>
      <c r="F196" s="31"/>
      <c r="G196" s="31"/>
      <c r="H196" s="31"/>
      <c r="I196" s="31"/>
      <c r="J196" s="31"/>
      <c r="K196" s="31"/>
      <c r="L196" s="31"/>
      <c r="M196" s="31"/>
      <c r="N196" s="31"/>
      <c r="O196" s="31"/>
    </row>
    <row r="197" spans="1:32">
      <c r="B197" s="11"/>
      <c r="F197" s="31"/>
      <c r="G197" s="31"/>
      <c r="H197" s="31"/>
      <c r="I197" s="31"/>
      <c r="J197" s="31"/>
      <c r="K197" s="31"/>
      <c r="L197" s="31"/>
      <c r="M197" s="31"/>
      <c r="N197" s="31"/>
      <c r="O197" s="31"/>
    </row>
    <row r="198" spans="1:32">
      <c r="B198" s="11"/>
      <c r="F198" s="31"/>
      <c r="G198" s="31"/>
      <c r="H198" s="31"/>
      <c r="I198" s="31"/>
      <c r="J198" s="31"/>
      <c r="K198" s="31"/>
      <c r="L198" s="31"/>
      <c r="M198" s="31"/>
      <c r="N198" s="31"/>
      <c r="O198" s="31"/>
    </row>
    <row r="199" spans="1:32">
      <c r="B199" s="11"/>
      <c r="F199" s="31"/>
      <c r="G199" s="31"/>
      <c r="H199" s="31"/>
      <c r="I199" s="31"/>
      <c r="J199" s="31"/>
      <c r="K199" s="31"/>
      <c r="L199" s="31"/>
      <c r="M199" s="31"/>
      <c r="N199" s="31"/>
      <c r="O199" s="31"/>
    </row>
    <row r="200" spans="1:32">
      <c r="B200" s="11" t="s">
        <v>179</v>
      </c>
      <c r="F200" s="31"/>
      <c r="G200" s="31"/>
      <c r="H200" s="31"/>
      <c r="I200" s="31"/>
      <c r="J200" s="31"/>
      <c r="K200" s="31"/>
      <c r="L200" s="31"/>
      <c r="M200" s="31"/>
      <c r="N200" s="31"/>
      <c r="O200" s="31"/>
    </row>
    <row r="201" spans="1:32">
      <c r="C201" t="s">
        <v>183</v>
      </c>
      <c r="F201" s="31"/>
      <c r="G201" s="31">
        <f>(G193-F193)</f>
        <v>9469</v>
      </c>
      <c r="H201" s="31">
        <f t="shared" ref="H201:J201" si="102">(H193-G193)</f>
        <v>9893</v>
      </c>
      <c r="I201" s="31">
        <f t="shared" si="102"/>
        <v>3198</v>
      </c>
      <c r="J201" s="31">
        <f t="shared" si="102"/>
        <v>12278.000000000015</v>
      </c>
      <c r="K201" s="31">
        <f>(K193-J193)</f>
        <v>-3304.0487671233132</v>
      </c>
      <c r="L201" s="31">
        <f t="shared" ref="L201:O201" si="103">(L193-K193)</f>
        <v>8153.7828904109774</v>
      </c>
      <c r="M201" s="31">
        <f t="shared" si="103"/>
        <v>-1200.1412106815114</v>
      </c>
      <c r="N201" s="31">
        <f t="shared" si="103"/>
        <v>1962.9113050966698</v>
      </c>
      <c r="O201" s="31">
        <f t="shared" si="103"/>
        <v>3203.6736668230442</v>
      </c>
    </row>
    <row r="202" spans="1:32">
      <c r="C202" t="s">
        <v>184</v>
      </c>
      <c r="F202" s="31"/>
      <c r="G202" s="31">
        <f>(G194-F194)</f>
        <v>1765.0000000000036</v>
      </c>
      <c r="H202" s="31">
        <f t="shared" ref="H202:O202" si="104">(H194-G194)</f>
        <v>-1087</v>
      </c>
      <c r="I202" s="31">
        <f t="shared" si="104"/>
        <v>896</v>
      </c>
      <c r="J202" s="31">
        <f t="shared" si="104"/>
        <v>4110.9999999999927</v>
      </c>
      <c r="K202" s="31">
        <f t="shared" si="104"/>
        <v>-8444.8126027397193</v>
      </c>
      <c r="L202" s="31">
        <f t="shared" si="104"/>
        <v>5677.2356054794545</v>
      </c>
      <c r="M202" s="31">
        <f t="shared" si="104"/>
        <v>-1879.4637872876701</v>
      </c>
      <c r="N202" s="31">
        <f t="shared" si="104"/>
        <v>673.55918430904421</v>
      </c>
      <c r="O202" s="31">
        <f t="shared" si="104"/>
        <v>1585.4546953735917</v>
      </c>
    </row>
    <row r="203" spans="1:32" ht="15" thickBot="1">
      <c r="C203" t="s">
        <v>185</v>
      </c>
      <c r="F203" s="31"/>
      <c r="G203" s="31">
        <f>-(G195-F195)</f>
        <v>-936</v>
      </c>
      <c r="H203" s="31">
        <f t="shared" ref="H203:O203" si="105">-(H195-G195)</f>
        <v>-5381</v>
      </c>
      <c r="I203" s="31">
        <f t="shared" si="105"/>
        <v>-9382</v>
      </c>
      <c r="J203" s="31">
        <f t="shared" si="105"/>
        <v>-27546</v>
      </c>
      <c r="K203" s="31">
        <f t="shared" si="105"/>
        <v>22308.375342465748</v>
      </c>
      <c r="L203" s="31">
        <f t="shared" si="105"/>
        <v>-27390.171780821925</v>
      </c>
      <c r="M203" s="31">
        <f t="shared" si="105"/>
        <v>10413.24530794521</v>
      </c>
      <c r="N203" s="31">
        <f t="shared" si="105"/>
        <v>-2331.551022608226</v>
      </c>
      <c r="O203" s="31">
        <f t="shared" si="105"/>
        <v>-6870.3036799522379</v>
      </c>
    </row>
    <row r="204" spans="1:32" ht="15" thickBot="1">
      <c r="C204" s="11" t="s">
        <v>113</v>
      </c>
      <c r="F204" s="59">
        <f>F201-F202</f>
        <v>0</v>
      </c>
      <c r="G204" s="59">
        <f>SUM(G201:G203)</f>
        <v>10298.000000000004</v>
      </c>
      <c r="H204" s="59">
        <f t="shared" ref="H204:L204" si="106">SUM(H201:H203)</f>
        <v>3425</v>
      </c>
      <c r="I204" s="59">
        <f t="shared" si="106"/>
        <v>-5288</v>
      </c>
      <c r="J204" s="59">
        <f t="shared" si="106"/>
        <v>-11156.999999999993</v>
      </c>
      <c r="K204" s="59">
        <f t="shared" si="106"/>
        <v>10559.513972602716</v>
      </c>
      <c r="L204" s="59">
        <f t="shared" si="106"/>
        <v>-13559.153284931494</v>
      </c>
      <c r="M204" s="59">
        <f t="shared" ref="M204:O204" si="107">SUM(M201:M203)</f>
        <v>7333.6403099760282</v>
      </c>
      <c r="N204" s="59">
        <f t="shared" si="107"/>
        <v>304.91946679748798</v>
      </c>
      <c r="O204" s="59">
        <f t="shared" si="107"/>
        <v>-2081.175317755602</v>
      </c>
    </row>
    <row r="205" spans="1:32">
      <c r="F205" s="31"/>
      <c r="G205" s="31"/>
      <c r="H205" s="31"/>
      <c r="I205" s="31"/>
      <c r="J205" s="31"/>
      <c r="K205" s="31"/>
      <c r="L205" s="26"/>
      <c r="M205" s="31"/>
      <c r="N205" s="31"/>
      <c r="O205" s="31"/>
    </row>
    <row r="206" spans="1:32">
      <c r="B206" t="s">
        <v>114</v>
      </c>
      <c r="F206" t="str">
        <f t="shared" ref="F206:L206" si="108">IF(F204&lt;0,"Negative","Postive")</f>
        <v>Postive</v>
      </c>
      <c r="G206" t="str">
        <f t="shared" si="108"/>
        <v>Postive</v>
      </c>
      <c r="H206" t="str">
        <f t="shared" si="108"/>
        <v>Postive</v>
      </c>
      <c r="I206" t="str">
        <f t="shared" si="108"/>
        <v>Negative</v>
      </c>
      <c r="J206" t="str">
        <f t="shared" si="108"/>
        <v>Negative</v>
      </c>
      <c r="K206" t="str">
        <f t="shared" si="108"/>
        <v>Postive</v>
      </c>
      <c r="L206" t="str">
        <f t="shared" si="108"/>
        <v>Negative</v>
      </c>
      <c r="M206" t="str">
        <f t="shared" ref="M206:O206" si="109">IF(M204&lt;0,"Negative","Postive")</f>
        <v>Postive</v>
      </c>
      <c r="N206" t="str">
        <f t="shared" si="109"/>
        <v>Postive</v>
      </c>
      <c r="O206" t="str">
        <f t="shared" si="109"/>
        <v>Negative</v>
      </c>
    </row>
    <row r="208" spans="1:32" ht="46.2">
      <c r="A208" s="21" t="s">
        <v>115</v>
      </c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</row>
    <row r="209" spans="1:32" ht="46.2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</row>
    <row r="210" spans="1:32" ht="46.2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</row>
    <row r="211" spans="1:32">
      <c r="C211" s="1" t="s">
        <v>246</v>
      </c>
    </row>
    <row r="212" spans="1:32" ht="14.4" customHeight="1">
      <c r="C212" s="1"/>
    </row>
    <row r="213" spans="1:32" ht="14.4" customHeight="1">
      <c r="C213" s="1"/>
      <c r="I213" s="27">
        <f t="shared" ref="I213:L213" si="110">I170</f>
        <v>2024</v>
      </c>
      <c r="J213" s="27">
        <f t="shared" si="110"/>
        <v>2025</v>
      </c>
      <c r="K213" s="27" t="str">
        <f t="shared" si="110"/>
        <v>2026F</v>
      </c>
      <c r="L213" s="27" t="str">
        <f t="shared" si="110"/>
        <v>2027F</v>
      </c>
      <c r="M213" s="27" t="str">
        <f>M170</f>
        <v>2028F</v>
      </c>
      <c r="N213" s="27" t="str">
        <f t="shared" ref="N213:O213" si="111">N170</f>
        <v>2029F</v>
      </c>
      <c r="O213" s="27" t="str">
        <f t="shared" si="111"/>
        <v>2030F</v>
      </c>
    </row>
    <row r="214" spans="1:32" ht="14.4" customHeight="1"/>
    <row r="215" spans="1:32">
      <c r="B215" s="11"/>
      <c r="M215" s="63"/>
      <c r="N215" s="63"/>
      <c r="O215" s="63"/>
      <c r="P215" s="63"/>
      <c r="Q215" s="63"/>
      <c r="R215" s="63"/>
      <c r="S215" s="63"/>
      <c r="T215" s="63"/>
      <c r="U215" s="63"/>
      <c r="V215" s="63"/>
    </row>
    <row r="216" spans="1:32">
      <c r="B216" s="11" t="s">
        <v>14</v>
      </c>
      <c r="I216" s="113">
        <f t="shared" ref="I216:J216" si="112">-I60</f>
        <v>77658</v>
      </c>
      <c r="J216" s="113">
        <f t="shared" si="112"/>
        <v>128320</v>
      </c>
      <c r="K216" s="113">
        <f>Input!G25</f>
        <v>95000</v>
      </c>
      <c r="L216" s="113">
        <f>Input!H25</f>
        <v>97500</v>
      </c>
      <c r="M216" s="113">
        <f>Input!I25</f>
        <v>96250</v>
      </c>
      <c r="N216" s="113">
        <f>Input!J25</f>
        <v>96250</v>
      </c>
      <c r="O216" s="113">
        <f>Input!K25</f>
        <v>96666.666666666672</v>
      </c>
    </row>
    <row r="217" spans="1:32">
      <c r="B217" s="11"/>
      <c r="F217" s="31"/>
      <c r="G217" s="31"/>
      <c r="H217" s="31"/>
      <c r="I217" s="31"/>
      <c r="J217" s="40" t="s">
        <v>116</v>
      </c>
      <c r="K217" s="31"/>
      <c r="L217" s="31"/>
      <c r="M217" s="31"/>
      <c r="N217" s="26"/>
      <c r="O217" s="31"/>
    </row>
    <row r="218" spans="1:32">
      <c r="B218" s="11"/>
      <c r="F218" s="31"/>
      <c r="G218" s="26"/>
      <c r="H218" s="31"/>
      <c r="I218" s="31"/>
      <c r="J218" s="31"/>
      <c r="K218" s="31"/>
      <c r="L218" s="31"/>
      <c r="M218" s="31"/>
      <c r="N218" s="31"/>
      <c r="O218" s="31"/>
    </row>
    <row r="219" spans="1:32">
      <c r="B219" s="11" t="s">
        <v>117</v>
      </c>
      <c r="F219" s="31"/>
      <c r="J219" s="31" t="s">
        <v>118</v>
      </c>
      <c r="K219" s="31" t="s">
        <v>119</v>
      </c>
      <c r="L219" s="31" t="s">
        <v>120</v>
      </c>
      <c r="M219" s="31" t="s">
        <v>121</v>
      </c>
      <c r="N219" s="31" t="s">
        <v>122</v>
      </c>
      <c r="O219" s="31" t="s">
        <v>123</v>
      </c>
    </row>
    <row r="220" spans="1:32">
      <c r="C220" s="11" t="s">
        <v>124</v>
      </c>
      <c r="D220" s="19">
        <f>Input!G74</f>
        <v>11</v>
      </c>
      <c r="F220" s="95"/>
      <c r="J220" s="246">
        <v>1</v>
      </c>
      <c r="K220" s="246">
        <v>1</v>
      </c>
      <c r="L220" s="246">
        <v>1</v>
      </c>
      <c r="M220" s="246">
        <v>1</v>
      </c>
      <c r="N220" s="246">
        <v>1</v>
      </c>
      <c r="O220" s="246">
        <v>1</v>
      </c>
    </row>
    <row r="221" spans="1:32">
      <c r="C221" s="11" t="s">
        <v>125</v>
      </c>
      <c r="D221" s="24">
        <f>J102</f>
        <v>357025</v>
      </c>
      <c r="F221" s="95"/>
      <c r="J221" s="246"/>
      <c r="K221" s="246"/>
      <c r="L221" s="246"/>
      <c r="M221" s="246"/>
      <c r="N221" s="246"/>
      <c r="O221" s="246"/>
    </row>
    <row r="222" spans="1:32">
      <c r="B222" s="11"/>
      <c r="F222" s="31"/>
      <c r="G222" s="31"/>
      <c r="H222" s="31"/>
      <c r="I222" s="31"/>
      <c r="J222" s="31"/>
      <c r="K222" s="31"/>
      <c r="L222" s="31"/>
      <c r="M222" s="31"/>
      <c r="N222" s="31"/>
      <c r="O222" s="31"/>
    </row>
    <row r="223" spans="1:32">
      <c r="B223" s="11"/>
      <c r="F223" s="40"/>
      <c r="G223" s="31"/>
      <c r="H223" s="31"/>
      <c r="I223" s="31"/>
      <c r="J223" s="31"/>
      <c r="K223" s="31"/>
      <c r="L223" s="31"/>
      <c r="M223" s="31"/>
      <c r="N223" s="31"/>
      <c r="O223" s="31"/>
    </row>
    <row r="224" spans="1:32">
      <c r="B224" s="11"/>
      <c r="F224" s="31"/>
      <c r="G224" s="31"/>
      <c r="H224" s="31"/>
      <c r="I224" s="31"/>
      <c r="K224" s="31"/>
      <c r="L224" s="31"/>
      <c r="M224" s="31"/>
      <c r="N224" s="31"/>
      <c r="O224" s="31"/>
    </row>
    <row r="225" spans="2:18">
      <c r="B225" s="11"/>
      <c r="F225" s="31"/>
      <c r="G225" s="31"/>
      <c r="H225" s="31"/>
      <c r="I225" s="31"/>
      <c r="J225" s="31"/>
      <c r="K225" s="31"/>
      <c r="L225" s="31"/>
      <c r="M225" s="31"/>
      <c r="N225" s="31"/>
      <c r="O225" s="31"/>
    </row>
    <row r="226" spans="2:18">
      <c r="B226" s="11" t="s">
        <v>126</v>
      </c>
      <c r="F226" s="31"/>
      <c r="O226" s="31"/>
    </row>
    <row r="227" spans="2:18">
      <c r="B227" s="11"/>
      <c r="C227" s="11" t="s">
        <v>124</v>
      </c>
      <c r="D227" s="19">
        <f>Input!G75</f>
        <v>20</v>
      </c>
      <c r="F227" s="31"/>
      <c r="O227" s="31"/>
    </row>
    <row r="228" spans="2:18">
      <c r="B228" s="11"/>
      <c r="C228" s="11" t="s">
        <v>127</v>
      </c>
      <c r="D228" s="13">
        <f>Input!G81</f>
        <v>0.5</v>
      </c>
      <c r="F228" s="31"/>
      <c r="O228" s="31"/>
    </row>
    <row r="229" spans="2:18">
      <c r="B229" s="11"/>
      <c r="F229" s="31"/>
      <c r="O229" s="31"/>
    </row>
    <row r="230" spans="2:18">
      <c r="B230" s="11"/>
      <c r="F230" s="31"/>
      <c r="J230" s="40" t="s">
        <v>116</v>
      </c>
      <c r="O230" s="31"/>
    </row>
    <row r="231" spans="2:18" ht="15" thickBot="1">
      <c r="B231" s="11"/>
      <c r="D231" s="40"/>
      <c r="E231" s="40"/>
      <c r="F231" s="31"/>
      <c r="G231" s="31"/>
      <c r="H231" s="31"/>
      <c r="I231" s="31"/>
      <c r="J231" s="31"/>
      <c r="K231" s="31"/>
      <c r="O231" s="31"/>
    </row>
    <row r="232" spans="2:18" ht="15" thickBot="1">
      <c r="B232" s="11"/>
      <c r="C232" s="152" t="s">
        <v>128</v>
      </c>
      <c r="D232" s="153" t="s">
        <v>129</v>
      </c>
      <c r="E232" s="153" t="s">
        <v>130</v>
      </c>
      <c r="F232" s="154">
        <f>I213</f>
        <v>2024</v>
      </c>
      <c r="G232" s="154">
        <f t="shared" ref="G232:L232" si="113">J213</f>
        <v>2025</v>
      </c>
      <c r="H232" s="154" t="str">
        <f t="shared" si="113"/>
        <v>2026F</v>
      </c>
      <c r="I232" s="154" t="str">
        <f t="shared" si="113"/>
        <v>2027F</v>
      </c>
      <c r="J232" s="154" t="str">
        <f t="shared" si="113"/>
        <v>2028F</v>
      </c>
      <c r="K232" s="154" t="str">
        <f t="shared" si="113"/>
        <v>2029F</v>
      </c>
      <c r="L232" s="155" t="str">
        <f t="shared" si="113"/>
        <v>2030F</v>
      </c>
      <c r="O232" s="26"/>
    </row>
    <row r="233" spans="2:18">
      <c r="B233" s="11"/>
      <c r="C233" s="150">
        <f>I213</f>
        <v>2024</v>
      </c>
      <c r="D233" s="110">
        <f>$D$227</f>
        <v>20</v>
      </c>
      <c r="E233" s="114">
        <f>I216/D233</f>
        <v>3882.9</v>
      </c>
      <c r="F233" s="111">
        <f>$E$233/$D$233*$D$228</f>
        <v>97.072500000000005</v>
      </c>
      <c r="G233" s="111">
        <f>$E$234/$D$234*$D$228</f>
        <v>160.4</v>
      </c>
      <c r="H233" s="111">
        <f>$E$235/$D$235*$D$228</f>
        <v>118.75</v>
      </c>
      <c r="I233" s="111">
        <f>$E$236/$D$236*$D$228</f>
        <v>121.875</v>
      </c>
      <c r="J233" s="111">
        <f>$E$237/$D$237*$D$228</f>
        <v>120.3125</v>
      </c>
      <c r="K233" s="111">
        <f>$E$238/$D$238*$D$228</f>
        <v>120.3125</v>
      </c>
      <c r="L233" s="117">
        <f>$E$239/$D$239*$D$228</f>
        <v>120.83333333333334</v>
      </c>
      <c r="M233" s="31"/>
      <c r="N233" s="31"/>
      <c r="O233" s="31"/>
    </row>
    <row r="234" spans="2:18">
      <c r="B234" s="11"/>
      <c r="C234" s="150">
        <f>C233+1</f>
        <v>2025</v>
      </c>
      <c r="D234" s="110">
        <f t="shared" ref="D234:D239" si="114">$D$227</f>
        <v>20</v>
      </c>
      <c r="E234" s="111">
        <f>J216/D234</f>
        <v>6416</v>
      </c>
      <c r="F234" s="111"/>
      <c r="G234" s="111">
        <f>$E$234/$D$234*$D$228</f>
        <v>160.4</v>
      </c>
      <c r="H234" s="111">
        <f>$E$235/$D$235*$D$228</f>
        <v>118.75</v>
      </c>
      <c r="I234" s="111">
        <f>$E$236/$D$236*$D$228</f>
        <v>121.875</v>
      </c>
      <c r="J234" s="111">
        <f>$E$237/$D$237*$D$228</f>
        <v>120.3125</v>
      </c>
      <c r="K234" s="111">
        <f>$E$238/$D$238*$D$228</f>
        <v>120.3125</v>
      </c>
      <c r="L234" s="117">
        <f>$E$239/$D$239*$D$228</f>
        <v>120.83333333333334</v>
      </c>
      <c r="M234" s="112"/>
      <c r="N234" s="31"/>
      <c r="O234" s="31"/>
    </row>
    <row r="235" spans="2:18">
      <c r="B235" s="11"/>
      <c r="C235" s="150">
        <f t="shared" ref="C235:C239" si="115">C234+1</f>
        <v>2026</v>
      </c>
      <c r="D235" s="110">
        <f t="shared" si="114"/>
        <v>20</v>
      </c>
      <c r="E235" s="111">
        <f>K216/D235</f>
        <v>4750</v>
      </c>
      <c r="F235" s="111"/>
      <c r="G235" s="111"/>
      <c r="H235" s="111">
        <f>$E$234/$D$234*$D$228</f>
        <v>160.4</v>
      </c>
      <c r="I235" s="111">
        <f>$E$235/$D$235*$D$228</f>
        <v>118.75</v>
      </c>
      <c r="J235" s="111">
        <f>$E$236/$D$236*$D$228</f>
        <v>121.875</v>
      </c>
      <c r="K235" s="111">
        <f>$E$237/$D$237*$D$228</f>
        <v>120.3125</v>
      </c>
      <c r="L235" s="117">
        <f>$E$238/$D$238*$D$228</f>
        <v>120.3125</v>
      </c>
      <c r="M235" s="112"/>
    </row>
    <row r="236" spans="2:18">
      <c r="B236" s="11"/>
      <c r="C236" s="150">
        <f t="shared" si="115"/>
        <v>2027</v>
      </c>
      <c r="D236" s="110">
        <f t="shared" si="114"/>
        <v>20</v>
      </c>
      <c r="E236" s="111">
        <f>L216/D236</f>
        <v>4875</v>
      </c>
      <c r="F236" s="111"/>
      <c r="G236" s="111"/>
      <c r="H236" s="111"/>
      <c r="I236" s="111">
        <f>$E$234/$D$234*$D$228</f>
        <v>160.4</v>
      </c>
      <c r="J236" s="111">
        <f>$E$235/$D$235*$D$228</f>
        <v>118.75</v>
      </c>
      <c r="K236" s="111">
        <f>$E$236/$D$236*$D$228</f>
        <v>121.875</v>
      </c>
      <c r="L236" s="117">
        <f>$E$237/$D$237*$D$228</f>
        <v>120.3125</v>
      </c>
      <c r="M236" s="112"/>
      <c r="N236" s="112"/>
    </row>
    <row r="237" spans="2:18">
      <c r="B237" s="11"/>
      <c r="C237" s="150">
        <f t="shared" si="115"/>
        <v>2028</v>
      </c>
      <c r="D237" s="110">
        <f t="shared" si="114"/>
        <v>20</v>
      </c>
      <c r="E237" s="111">
        <f>M216/D237</f>
        <v>4812.5</v>
      </c>
      <c r="F237" s="111"/>
      <c r="G237" s="111"/>
      <c r="H237" s="111"/>
      <c r="I237" s="111"/>
      <c r="J237" s="111">
        <f>$E$234/$D$234*$D$228</f>
        <v>160.4</v>
      </c>
      <c r="K237" s="111">
        <f>$E$235/$D$235*$D$228</f>
        <v>118.75</v>
      </c>
      <c r="L237" s="117">
        <f>$E$236/$D$236*$D$228</f>
        <v>121.875</v>
      </c>
      <c r="M237" s="112"/>
      <c r="N237" s="112"/>
      <c r="O237" s="112"/>
    </row>
    <row r="238" spans="2:18">
      <c r="C238" s="150">
        <f t="shared" si="115"/>
        <v>2029</v>
      </c>
      <c r="D238" s="110">
        <f t="shared" si="114"/>
        <v>20</v>
      </c>
      <c r="E238" s="111">
        <f>N216/D238</f>
        <v>4812.5</v>
      </c>
      <c r="F238" s="111"/>
      <c r="G238" s="111"/>
      <c r="H238" s="111"/>
      <c r="I238" s="111"/>
      <c r="J238" s="111"/>
      <c r="K238" s="111">
        <f>$E$234/$D$234*$D$228</f>
        <v>160.4</v>
      </c>
      <c r="L238" s="117">
        <f>$E$235/$D$235*$D$228</f>
        <v>118.75</v>
      </c>
      <c r="M238" s="112"/>
      <c r="N238" s="112"/>
      <c r="O238" s="112"/>
      <c r="P238" s="112"/>
    </row>
    <row r="239" spans="2:18" ht="15" thickBot="1">
      <c r="C239" s="151">
        <f t="shared" si="115"/>
        <v>2030</v>
      </c>
      <c r="D239" s="64">
        <f t="shared" si="114"/>
        <v>20</v>
      </c>
      <c r="E239" s="118">
        <f>O216/D239</f>
        <v>4833.3333333333339</v>
      </c>
      <c r="F239" s="118"/>
      <c r="G239" s="118"/>
      <c r="H239" s="118"/>
      <c r="I239" s="118"/>
      <c r="J239" s="118"/>
      <c r="K239" s="118"/>
      <c r="L239" s="119">
        <f>$E$234/$D$234*$D$228</f>
        <v>160.4</v>
      </c>
      <c r="M239" s="112"/>
      <c r="N239" s="112"/>
      <c r="O239" s="112"/>
      <c r="P239" s="112"/>
      <c r="Q239" s="112"/>
      <c r="R239" s="112"/>
    </row>
    <row r="240" spans="2:18">
      <c r="M240" s="31"/>
      <c r="N240" s="31"/>
      <c r="O240" s="31"/>
    </row>
    <row r="241" spans="1:32">
      <c r="M241" s="31"/>
      <c r="N241" s="31"/>
      <c r="O241" s="31"/>
    </row>
    <row r="242" spans="1:32">
      <c r="M242" s="31"/>
      <c r="N242" s="31"/>
      <c r="O242" s="31"/>
    </row>
    <row r="243" spans="1:32">
      <c r="M243" s="31"/>
      <c r="N243" s="31"/>
      <c r="O243" s="31"/>
    </row>
    <row r="244" spans="1:32">
      <c r="M244" s="31"/>
      <c r="N244" s="31"/>
      <c r="O244" s="31"/>
    </row>
    <row r="245" spans="1:32">
      <c r="M245" s="31"/>
      <c r="N245" s="31"/>
      <c r="O245" s="31"/>
    </row>
    <row r="246" spans="1:32">
      <c r="M246" s="31"/>
      <c r="N246" s="31"/>
      <c r="O246" s="31"/>
    </row>
    <row r="247" spans="1:32" ht="15">
      <c r="C247" s="65" t="s">
        <v>131</v>
      </c>
      <c r="D247" s="66"/>
      <c r="E247" s="67"/>
      <c r="F247" s="67"/>
      <c r="G247" s="67"/>
      <c r="H247" s="67"/>
      <c r="I247" s="67"/>
      <c r="J247" s="68"/>
      <c r="K247" s="68"/>
      <c r="L247" s="68"/>
      <c r="M247" s="31"/>
      <c r="N247" s="31"/>
      <c r="O247" s="31"/>
    </row>
    <row r="248" spans="1:32" ht="15">
      <c r="C248" s="69" t="s">
        <v>132</v>
      </c>
      <c r="D248" s="66"/>
      <c r="E248" s="67"/>
      <c r="F248" s="67"/>
      <c r="G248" s="70">
        <f t="shared" ref="G248:L248" si="116">$D$221/$D$220*J220</f>
        <v>32456.81818181818</v>
      </c>
      <c r="H248" s="70">
        <f t="shared" si="116"/>
        <v>32456.81818181818</v>
      </c>
      <c r="I248" s="70">
        <f t="shared" si="116"/>
        <v>32456.81818181818</v>
      </c>
      <c r="J248" s="70">
        <f t="shared" si="116"/>
        <v>32456.81818181818</v>
      </c>
      <c r="K248" s="70">
        <f t="shared" si="116"/>
        <v>32456.81818181818</v>
      </c>
      <c r="L248" s="70">
        <f t="shared" si="116"/>
        <v>32456.81818181818</v>
      </c>
      <c r="M248" s="31"/>
      <c r="N248" s="31"/>
      <c r="O248" s="31"/>
    </row>
    <row r="249" spans="1:32" ht="15">
      <c r="C249" s="69" t="s">
        <v>133</v>
      </c>
      <c r="D249" s="66"/>
      <c r="E249" s="67"/>
      <c r="F249" s="67"/>
      <c r="G249" s="71">
        <f>SUM(G233:G239)</f>
        <v>320.8</v>
      </c>
      <c r="H249" s="71">
        <f t="shared" ref="H249:L249" si="117">SUM(H233:H239)</f>
        <v>397.9</v>
      </c>
      <c r="I249" s="71">
        <f t="shared" si="117"/>
        <v>522.9</v>
      </c>
      <c r="J249" s="71">
        <f t="shared" si="117"/>
        <v>641.65</v>
      </c>
      <c r="K249" s="71">
        <f t="shared" si="117"/>
        <v>761.96249999999998</v>
      </c>
      <c r="L249" s="71">
        <f t="shared" si="117"/>
        <v>883.31666666666672</v>
      </c>
      <c r="M249" s="31"/>
      <c r="N249" s="31"/>
      <c r="O249" s="31"/>
    </row>
    <row r="250" spans="1:32" ht="15">
      <c r="C250" s="69" t="s">
        <v>134</v>
      </c>
      <c r="D250" s="66"/>
      <c r="E250" s="67"/>
      <c r="F250" s="67"/>
      <c r="G250" s="115">
        <f>SUM(G248:G249)</f>
        <v>32777.618181818179</v>
      </c>
      <c r="H250" s="115">
        <f t="shared" ref="H250:L250" si="118">SUM(H248:H249)</f>
        <v>32854.718181818178</v>
      </c>
      <c r="I250" s="115">
        <f t="shared" si="118"/>
        <v>32979.718181818178</v>
      </c>
      <c r="J250" s="115">
        <f t="shared" si="118"/>
        <v>33098.468181818178</v>
      </c>
      <c r="K250" s="115">
        <f t="shared" si="118"/>
        <v>33218.780681818178</v>
      </c>
      <c r="L250" s="115">
        <f t="shared" si="118"/>
        <v>33340.134848484849</v>
      </c>
      <c r="M250" s="31"/>
      <c r="N250" s="31"/>
      <c r="O250" s="31"/>
    </row>
    <row r="254" spans="1:32" ht="46.2">
      <c r="A254" s="21" t="s">
        <v>135</v>
      </c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</row>
    <row r="255" spans="1:32" ht="46.2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</row>
    <row r="256" spans="1:32" ht="46.2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</row>
    <row r="257" spans="2:15">
      <c r="C257" s="1" t="s">
        <v>246</v>
      </c>
    </row>
    <row r="258" spans="2:15">
      <c r="C258" s="1"/>
    </row>
    <row r="259" spans="2:15">
      <c r="C259" s="1"/>
      <c r="I259" s="27">
        <f t="shared" ref="I259:L259" si="119">I213</f>
        <v>2024</v>
      </c>
      <c r="J259" s="27">
        <f t="shared" si="119"/>
        <v>2025</v>
      </c>
      <c r="K259" s="27" t="str">
        <f t="shared" si="119"/>
        <v>2026F</v>
      </c>
      <c r="L259" s="27" t="str">
        <f t="shared" si="119"/>
        <v>2027F</v>
      </c>
      <c r="M259" s="27" t="str">
        <f>M213</f>
        <v>2028F</v>
      </c>
      <c r="N259" s="27" t="str">
        <f t="shared" ref="N259:O259" si="120">N213</f>
        <v>2029F</v>
      </c>
      <c r="O259" s="27" t="str">
        <f t="shared" si="120"/>
        <v>2030F</v>
      </c>
    </row>
    <row r="261" spans="2:15">
      <c r="B261" s="11" t="s">
        <v>136</v>
      </c>
      <c r="I261" s="63">
        <f t="shared" ref="I261:L261" si="121">I216</f>
        <v>77658</v>
      </c>
      <c r="J261" s="63">
        <f t="shared" si="121"/>
        <v>128320</v>
      </c>
      <c r="K261" s="72">
        <f t="shared" si="121"/>
        <v>95000</v>
      </c>
      <c r="L261" s="72">
        <f t="shared" si="121"/>
        <v>97500</v>
      </c>
      <c r="M261" s="72">
        <f t="shared" ref="M261:O261" si="122">M216</f>
        <v>96250</v>
      </c>
      <c r="N261" s="72">
        <f t="shared" si="122"/>
        <v>96250</v>
      </c>
      <c r="O261" s="72">
        <f t="shared" si="122"/>
        <v>96666.666666666672</v>
      </c>
    </row>
    <row r="262" spans="2:15">
      <c r="B262" s="11"/>
      <c r="F262" s="31"/>
      <c r="G262" s="31"/>
      <c r="H262" s="31"/>
      <c r="I262" s="31"/>
      <c r="J262" s="31"/>
      <c r="K262" s="31"/>
      <c r="L262" s="31"/>
      <c r="M262" s="31"/>
      <c r="N262" s="31"/>
      <c r="O262" s="31"/>
    </row>
    <row r="263" spans="2:15" ht="15" thickBot="1">
      <c r="B263" s="11"/>
      <c r="F263" s="31"/>
      <c r="G263" s="31"/>
      <c r="H263" s="31"/>
      <c r="I263" s="31"/>
      <c r="J263" s="31"/>
      <c r="K263" s="31"/>
      <c r="L263" s="31"/>
      <c r="M263" s="31"/>
      <c r="N263" s="31"/>
      <c r="O263" s="31"/>
    </row>
    <row r="264" spans="2:15">
      <c r="B264" s="73" t="s">
        <v>137</v>
      </c>
      <c r="C264" s="74">
        <f>Input!G73</f>
        <v>0.5</v>
      </c>
      <c r="F264" s="31"/>
      <c r="G264" s="31"/>
      <c r="H264" s="31"/>
      <c r="I264" s="31"/>
      <c r="J264" s="31"/>
      <c r="K264" s="31"/>
      <c r="L264" s="31"/>
      <c r="M264" s="31"/>
      <c r="N264" s="31"/>
      <c r="O264" s="31"/>
    </row>
    <row r="265" spans="2:15" ht="15" thickBot="1">
      <c r="B265" s="75" t="s">
        <v>138</v>
      </c>
      <c r="C265" s="76">
        <f>Input!G82</f>
        <v>0.25</v>
      </c>
      <c r="F265" s="31"/>
      <c r="G265" s="31"/>
      <c r="H265" s="31"/>
      <c r="I265" s="31"/>
      <c r="J265" s="31"/>
      <c r="K265" s="31"/>
      <c r="L265" s="31"/>
      <c r="M265" s="31"/>
      <c r="N265" s="31"/>
      <c r="O265" s="31"/>
    </row>
    <row r="266" spans="2:15" ht="14.4" customHeight="1">
      <c r="B266" s="11"/>
      <c r="F266" s="31"/>
      <c r="G266" s="31"/>
      <c r="H266" s="31"/>
      <c r="I266" s="31"/>
      <c r="J266" s="31"/>
      <c r="K266" s="31"/>
      <c r="L266" s="31"/>
      <c r="M266" s="31"/>
      <c r="N266" s="31"/>
      <c r="O266" s="31"/>
    </row>
    <row r="267" spans="2:15" ht="14.4" customHeight="1">
      <c r="B267" s="11"/>
      <c r="F267" s="31"/>
      <c r="G267" s="31"/>
      <c r="H267" s="31"/>
      <c r="I267" s="31"/>
      <c r="J267" s="31"/>
      <c r="K267" s="31"/>
      <c r="L267" s="31"/>
      <c r="M267" s="31"/>
      <c r="N267" s="31"/>
      <c r="O267" s="31"/>
    </row>
    <row r="268" spans="2:15" ht="14.4" customHeight="1">
      <c r="B268" s="11"/>
      <c r="F268" s="24"/>
      <c r="G268" s="24"/>
      <c r="H268" s="77"/>
      <c r="I268" s="77"/>
      <c r="J268" s="77"/>
      <c r="K268" s="77"/>
      <c r="L268" s="77"/>
      <c r="M268" s="77"/>
      <c r="N268" s="77"/>
      <c r="O268" s="77"/>
    </row>
    <row r="269" spans="2:15">
      <c r="B269" s="11"/>
      <c r="F269" s="24"/>
      <c r="G269" s="24"/>
      <c r="H269" s="78"/>
      <c r="I269" s="78"/>
      <c r="J269" s="78"/>
      <c r="K269" s="78"/>
      <c r="L269" s="78"/>
      <c r="M269" s="78"/>
      <c r="N269" s="78"/>
      <c r="O269" s="78"/>
    </row>
    <row r="270" spans="2:15">
      <c r="B270" s="11" t="s">
        <v>139</v>
      </c>
      <c r="F270" s="24"/>
      <c r="G270" s="24"/>
      <c r="H270" s="78"/>
      <c r="I270" s="78"/>
      <c r="J270" s="78"/>
      <c r="K270" s="78"/>
      <c r="L270" s="78"/>
      <c r="M270" s="78"/>
      <c r="N270" s="78"/>
      <c r="O270" s="78"/>
    </row>
    <row r="271" spans="2:15">
      <c r="B271" s="11"/>
      <c r="F271" s="31"/>
      <c r="G271" s="31"/>
      <c r="H271" s="31"/>
      <c r="I271" s="31"/>
      <c r="J271" s="31"/>
      <c r="K271" s="31"/>
      <c r="L271" s="31"/>
      <c r="M271" s="31"/>
      <c r="N271" s="31"/>
      <c r="O271" s="31"/>
    </row>
    <row r="272" spans="2:15">
      <c r="C272" s="11" t="s">
        <v>140</v>
      </c>
      <c r="F272" s="31"/>
      <c r="G272" s="31"/>
      <c r="H272" s="31"/>
      <c r="I272" s="31"/>
      <c r="J272" s="31"/>
      <c r="K272" s="31">
        <f>J275</f>
        <v>357025</v>
      </c>
      <c r="L272" s="31">
        <f>K275</f>
        <v>419170.2818181818</v>
      </c>
      <c r="M272" s="31">
        <f t="shared" ref="M272:O272" si="123">L275</f>
        <v>483690.5636363636</v>
      </c>
      <c r="N272" s="31">
        <f t="shared" si="123"/>
        <v>546842.09545454546</v>
      </c>
      <c r="O272" s="31">
        <f t="shared" si="123"/>
        <v>609873.31477272732</v>
      </c>
    </row>
    <row r="273" spans="2:16">
      <c r="C273" s="11" t="s">
        <v>136</v>
      </c>
      <c r="F273" s="31"/>
      <c r="G273" s="31"/>
      <c r="H273" s="31"/>
      <c r="I273" s="31"/>
      <c r="J273" s="31"/>
      <c r="K273" s="31">
        <f>K261</f>
        <v>95000</v>
      </c>
      <c r="L273" s="31">
        <f>L261</f>
        <v>97500</v>
      </c>
      <c r="M273" s="31">
        <f t="shared" ref="M273:O273" si="124">M261</f>
        <v>96250</v>
      </c>
      <c r="N273" s="31">
        <f t="shared" si="124"/>
        <v>96250</v>
      </c>
      <c r="O273" s="31">
        <f t="shared" si="124"/>
        <v>96666.666666666672</v>
      </c>
    </row>
    <row r="274" spans="2:16">
      <c r="C274" s="11" t="s">
        <v>141</v>
      </c>
      <c r="F274" s="31"/>
      <c r="G274" s="31"/>
      <c r="H274" s="31"/>
      <c r="I274" s="31"/>
      <c r="J274" s="31"/>
      <c r="K274" s="31">
        <f>-H250</f>
        <v>-32854.718181818178</v>
      </c>
      <c r="L274" s="31">
        <f t="shared" ref="L274:O274" si="125">-I250</f>
        <v>-32979.718181818178</v>
      </c>
      <c r="M274" s="31">
        <f t="shared" si="125"/>
        <v>-33098.468181818178</v>
      </c>
      <c r="N274" s="31">
        <f t="shared" si="125"/>
        <v>-33218.780681818178</v>
      </c>
      <c r="O274" s="31">
        <f t="shared" si="125"/>
        <v>-33340.134848484849</v>
      </c>
    </row>
    <row r="275" spans="2:16">
      <c r="C275" s="11" t="s">
        <v>142</v>
      </c>
      <c r="F275" s="31"/>
      <c r="G275" s="31"/>
      <c r="H275" s="31"/>
      <c r="I275" s="31"/>
      <c r="J275" s="31">
        <f>J102</f>
        <v>357025</v>
      </c>
      <c r="K275" s="31">
        <f>SUM(K272:K274)</f>
        <v>419170.2818181818</v>
      </c>
      <c r="L275" s="31">
        <f>SUM(L272:L274)</f>
        <v>483690.5636363636</v>
      </c>
      <c r="M275" s="31">
        <f t="shared" ref="M275:O275" si="126">SUM(M272:M274)</f>
        <v>546842.09545454546</v>
      </c>
      <c r="N275" s="31">
        <f t="shared" si="126"/>
        <v>609873.31477272732</v>
      </c>
      <c r="O275" s="31">
        <f t="shared" si="126"/>
        <v>673199.84659090906</v>
      </c>
    </row>
    <row r="276" spans="2:16">
      <c r="B276" s="11"/>
      <c r="F276" s="24"/>
      <c r="G276" s="24"/>
      <c r="H276" s="31"/>
      <c r="I276" s="31"/>
      <c r="J276" s="31"/>
      <c r="K276" s="31"/>
      <c r="L276" s="31"/>
      <c r="M276" s="31"/>
      <c r="N276" s="31"/>
      <c r="O276" s="31"/>
    </row>
    <row r="277" spans="2:16">
      <c r="B277" s="11"/>
      <c r="F277" s="24"/>
      <c r="G277" s="24"/>
      <c r="H277" s="31"/>
      <c r="I277" s="31"/>
      <c r="J277" s="31"/>
      <c r="K277" s="31"/>
      <c r="L277" s="31"/>
      <c r="M277" s="31"/>
      <c r="N277" s="31"/>
      <c r="O277" s="31"/>
    </row>
    <row r="278" spans="2:16">
      <c r="B278" s="11"/>
      <c r="F278" s="24"/>
      <c r="G278" s="24"/>
      <c r="H278" s="31"/>
      <c r="I278" s="31"/>
      <c r="J278" s="31"/>
      <c r="K278" s="31"/>
      <c r="L278" s="31"/>
      <c r="M278" s="31"/>
      <c r="N278" s="31"/>
      <c r="O278" s="31"/>
    </row>
    <row r="279" spans="2:16">
      <c r="B279" s="11"/>
      <c r="F279" s="31"/>
      <c r="G279" s="31"/>
      <c r="H279" s="31"/>
      <c r="I279" s="31"/>
      <c r="J279" s="31"/>
      <c r="K279" s="31"/>
      <c r="L279" s="31"/>
      <c r="M279" s="31"/>
      <c r="N279" s="31"/>
      <c r="O279" s="31"/>
    </row>
    <row r="280" spans="2:16">
      <c r="B280" s="11" t="s">
        <v>29</v>
      </c>
      <c r="F280" s="31"/>
      <c r="G280" s="31"/>
      <c r="H280" s="31"/>
      <c r="I280" s="31"/>
      <c r="J280" s="31"/>
      <c r="K280" s="31"/>
      <c r="L280" s="31"/>
      <c r="M280" s="31"/>
      <c r="N280" s="31"/>
      <c r="O280" s="31"/>
    </row>
    <row r="281" spans="2:16">
      <c r="C281" s="11" t="s">
        <v>140</v>
      </c>
      <c r="F281" s="31"/>
      <c r="G281" s="31"/>
      <c r="H281" s="31"/>
      <c r="I281" s="31"/>
      <c r="J281" s="31">
        <f>I284</f>
        <v>0.2</v>
      </c>
      <c r="K281" s="31">
        <f t="shared" ref="K281:L281" si="127">J284</f>
        <v>96240.174999999988</v>
      </c>
      <c r="L281" s="31">
        <f t="shared" si="127"/>
        <v>155460.15312499998</v>
      </c>
      <c r="M281" s="31">
        <f t="shared" ref="M281" si="128">L284</f>
        <v>209152.63398437499</v>
      </c>
      <c r="N281" s="31">
        <f t="shared" ref="N281" si="129">M284</f>
        <v>255196.05473632811</v>
      </c>
      <c r="O281" s="31">
        <f t="shared" ref="O281" si="130">N284</f>
        <v>295484.04789428704</v>
      </c>
    </row>
    <row r="282" spans="2:16">
      <c r="C282" s="11" t="s">
        <v>136</v>
      </c>
      <c r="F282" s="31"/>
      <c r="G282" s="31"/>
      <c r="H282" s="31"/>
      <c r="I282" s="31"/>
      <c r="J282" s="31">
        <f t="shared" ref="J282:L282" si="131">J261</f>
        <v>128320</v>
      </c>
      <c r="K282" s="31">
        <f t="shared" si="131"/>
        <v>95000</v>
      </c>
      <c r="L282" s="31">
        <f t="shared" si="131"/>
        <v>97500</v>
      </c>
      <c r="M282" s="31">
        <f t="shared" ref="M282:O282" si="132">M261</f>
        <v>96250</v>
      </c>
      <c r="N282" s="31">
        <f t="shared" si="132"/>
        <v>96250</v>
      </c>
      <c r="O282" s="31">
        <f t="shared" si="132"/>
        <v>96666.666666666672</v>
      </c>
    </row>
    <row r="283" spans="2:16">
      <c r="C283" s="11" t="s">
        <v>143</v>
      </c>
      <c r="F283" s="31"/>
      <c r="G283" s="31"/>
      <c r="H283" s="31"/>
      <c r="I283" s="31"/>
      <c r="J283" s="31">
        <f>-(J282+J281*$C$264)*$C$265</f>
        <v>-32080.025000000001</v>
      </c>
      <c r="K283" s="31">
        <f t="shared" ref="K283:L283" si="133">-(K282+K281*$C$264)*$C$265</f>
        <v>-35780.021874999999</v>
      </c>
      <c r="L283" s="31">
        <f t="shared" si="133"/>
        <v>-43807.519140624994</v>
      </c>
      <c r="M283" s="31">
        <f t="shared" ref="M283:O283" si="134">-(M282+M281*$C$264)*$C$265</f>
        <v>-50206.579248046874</v>
      </c>
      <c r="N283" s="31">
        <f t="shared" si="134"/>
        <v>-55962.00684204101</v>
      </c>
      <c r="O283" s="31">
        <f t="shared" si="134"/>
        <v>-61102.172653452551</v>
      </c>
    </row>
    <row r="284" spans="2:16">
      <c r="C284" s="11" t="s">
        <v>142</v>
      </c>
      <c r="F284" s="31"/>
      <c r="G284" s="31"/>
      <c r="H284" s="31"/>
      <c r="I284" s="31">
        <f>Input!G80</f>
        <v>0.2</v>
      </c>
      <c r="J284" s="31">
        <f>SUM(J281:J283)</f>
        <v>96240.174999999988</v>
      </c>
      <c r="K284" s="31">
        <f t="shared" ref="K284:L284" si="135">SUM(K281:K283)</f>
        <v>155460.15312499998</v>
      </c>
      <c r="L284" s="31">
        <f t="shared" si="135"/>
        <v>209152.63398437499</v>
      </c>
      <c r="M284" s="31">
        <f t="shared" ref="M284:O284" si="136">SUM(M281:M283)</f>
        <v>255196.05473632811</v>
      </c>
      <c r="N284" s="31">
        <f t="shared" si="136"/>
        <v>295484.04789428704</v>
      </c>
      <c r="O284" s="31">
        <f t="shared" si="136"/>
        <v>331048.54190750117</v>
      </c>
      <c r="P284" s="1"/>
    </row>
    <row r="285" spans="2:16">
      <c r="F285" s="31"/>
      <c r="G285" s="31"/>
      <c r="H285" s="31"/>
      <c r="I285" s="31"/>
      <c r="J285" s="31"/>
      <c r="K285" s="31"/>
      <c r="L285" s="31"/>
      <c r="M285" s="31"/>
      <c r="N285" s="31"/>
      <c r="O285" s="31"/>
    </row>
    <row r="286" spans="2:16">
      <c r="F286" s="31"/>
      <c r="G286" s="31"/>
      <c r="H286" s="31"/>
      <c r="I286" s="31"/>
      <c r="J286" s="31"/>
      <c r="K286" s="31"/>
      <c r="L286" s="31"/>
      <c r="M286" s="31"/>
      <c r="N286" s="31"/>
      <c r="O286" s="31"/>
    </row>
    <row r="287" spans="2:16">
      <c r="F287" s="31"/>
      <c r="G287" s="31"/>
      <c r="H287" s="31"/>
      <c r="I287" s="31"/>
      <c r="J287" s="31"/>
      <c r="K287" s="31"/>
      <c r="L287" s="31"/>
      <c r="M287" s="31"/>
      <c r="N287" s="31"/>
      <c r="O287" s="31"/>
    </row>
    <row r="290" spans="1:32" ht="46.2">
      <c r="A290" s="21" t="s">
        <v>144</v>
      </c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</row>
    <row r="291" spans="1:32" ht="46.2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</row>
    <row r="292" spans="1:32" ht="46.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</row>
    <row r="293" spans="1:32">
      <c r="C293" s="1" t="s">
        <v>246</v>
      </c>
    </row>
    <row r="294" spans="1:32">
      <c r="C294" s="1"/>
    </row>
    <row r="295" spans="1:32">
      <c r="C295" s="1"/>
      <c r="I295" s="27">
        <f t="shared" ref="I295:L295" si="137">I259</f>
        <v>2024</v>
      </c>
      <c r="J295" s="27">
        <f t="shared" si="137"/>
        <v>2025</v>
      </c>
      <c r="K295" s="27" t="str">
        <f t="shared" si="137"/>
        <v>2026F</v>
      </c>
      <c r="L295" s="27" t="str">
        <f t="shared" si="137"/>
        <v>2027F</v>
      </c>
      <c r="M295" s="27" t="str">
        <f>M259</f>
        <v>2028F</v>
      </c>
      <c r="N295" s="27" t="str">
        <f t="shared" ref="N295:O295" si="138">N259</f>
        <v>2029F</v>
      </c>
      <c r="O295" s="27" t="str">
        <f t="shared" si="138"/>
        <v>2030F</v>
      </c>
    </row>
    <row r="297" spans="1:32">
      <c r="B297" s="11"/>
      <c r="I297" s="79"/>
      <c r="J297" s="79"/>
      <c r="K297" s="79"/>
      <c r="L297" s="79"/>
    </row>
    <row r="298" spans="1:32">
      <c r="F298" s="31"/>
      <c r="G298" s="31"/>
      <c r="H298" s="31"/>
      <c r="I298" s="31"/>
      <c r="J298" s="31"/>
      <c r="K298" s="31"/>
      <c r="L298" s="31"/>
    </row>
    <row r="299" spans="1:32">
      <c r="B299" s="11" t="s">
        <v>34</v>
      </c>
      <c r="F299" s="31"/>
      <c r="G299" s="31"/>
      <c r="H299" s="31"/>
      <c r="I299" s="31"/>
      <c r="J299" s="31"/>
      <c r="K299" s="31"/>
      <c r="L299" s="31"/>
    </row>
    <row r="300" spans="1:32">
      <c r="B300" s="11"/>
      <c r="F300" s="31"/>
      <c r="G300" s="31"/>
      <c r="H300" s="31"/>
      <c r="I300" s="31"/>
      <c r="J300" s="31"/>
      <c r="K300" s="31"/>
      <c r="L300" s="31"/>
      <c r="M300" s="31"/>
      <c r="N300" s="31"/>
      <c r="O300" s="31"/>
    </row>
    <row r="301" spans="1:32">
      <c r="B301" s="11"/>
      <c r="C301" s="57" t="s">
        <v>145</v>
      </c>
      <c r="F301" s="31"/>
      <c r="G301" s="31"/>
      <c r="H301" s="31"/>
      <c r="I301" s="31"/>
      <c r="J301" s="31"/>
      <c r="K301" s="31">
        <f>J303</f>
        <v>86810</v>
      </c>
      <c r="L301" s="31">
        <f>K303</f>
        <v>85732.42220921535</v>
      </c>
      <c r="M301" s="31">
        <f t="shared" ref="M301:O301" si="139">L303</f>
        <v>114452.67993596502</v>
      </c>
      <c r="N301" s="31">
        <f t="shared" si="139"/>
        <v>130435.54625575716</v>
      </c>
      <c r="O301" s="31">
        <f t="shared" si="139"/>
        <v>160604.8293231625</v>
      </c>
    </row>
    <row r="302" spans="1:32">
      <c r="B302" s="11"/>
      <c r="C302" s="57" t="s">
        <v>146</v>
      </c>
      <c r="F302" s="31"/>
      <c r="G302" s="31"/>
      <c r="H302" s="31"/>
      <c r="I302" s="31"/>
      <c r="J302" s="31"/>
      <c r="K302" s="31">
        <f>K78</f>
        <v>-1077.577790784655</v>
      </c>
      <c r="L302" s="31">
        <f>L78</f>
        <v>28720.257726749667</v>
      </c>
      <c r="M302" s="31">
        <f t="shared" ref="M302:O302" si="140">M78</f>
        <v>15982.86631979214</v>
      </c>
      <c r="N302" s="31">
        <f t="shared" si="140"/>
        <v>30169.283067405326</v>
      </c>
      <c r="O302" s="31">
        <f t="shared" si="140"/>
        <v>40173.545464507413</v>
      </c>
    </row>
    <row r="303" spans="1:32" ht="14.4" customHeight="1">
      <c r="B303" s="11"/>
      <c r="C303" t="s">
        <v>147</v>
      </c>
      <c r="F303" s="31"/>
      <c r="G303" s="80"/>
      <c r="H303" s="81"/>
      <c r="I303" s="81"/>
      <c r="J303" s="80">
        <f>J93</f>
        <v>86810</v>
      </c>
      <c r="K303" s="81">
        <f>SUM(K301:K302)</f>
        <v>85732.42220921535</v>
      </c>
      <c r="L303" s="81">
        <f>SUM(L301:L302)</f>
        <v>114452.67993596502</v>
      </c>
      <c r="M303" s="81">
        <f t="shared" ref="M303:O303" si="141">SUM(M301:M302)</f>
        <v>130435.54625575716</v>
      </c>
      <c r="N303" s="81">
        <f t="shared" si="141"/>
        <v>160604.8293231625</v>
      </c>
      <c r="O303" s="81">
        <f t="shared" si="141"/>
        <v>200778.37478766992</v>
      </c>
    </row>
    <row r="304" spans="1:32" ht="14.4" customHeight="1">
      <c r="B304" s="11"/>
      <c r="F304" s="24"/>
      <c r="G304" s="24"/>
      <c r="H304" s="77"/>
      <c r="I304" s="77"/>
      <c r="J304" s="77"/>
      <c r="K304" s="77"/>
      <c r="L304" s="77"/>
      <c r="M304" s="77"/>
      <c r="N304" s="77"/>
      <c r="O304" s="77"/>
    </row>
    <row r="305" spans="2:15" ht="14.4" customHeight="1" thickBot="1">
      <c r="B305" s="11"/>
      <c r="C305" t="s">
        <v>148</v>
      </c>
      <c r="D305" s="57">
        <f>Input!F91</f>
        <v>0.05</v>
      </c>
      <c r="F305" s="24"/>
      <c r="G305" s="24"/>
      <c r="H305" s="78"/>
      <c r="I305" s="78"/>
      <c r="J305" s="78"/>
      <c r="K305" s="78"/>
      <c r="L305" s="78"/>
      <c r="M305" s="78"/>
      <c r="N305" s="78"/>
      <c r="O305" s="78"/>
    </row>
    <row r="306" spans="2:15" ht="15" thickBot="1">
      <c r="B306" s="11"/>
      <c r="C306" t="s">
        <v>149</v>
      </c>
      <c r="F306" s="24"/>
      <c r="G306" s="24"/>
      <c r="H306" s="24"/>
      <c r="I306" s="24"/>
      <c r="J306" s="46"/>
      <c r="K306" s="47">
        <f>AVERAGE(K303,J303)*$D$305</f>
        <v>4313.5605552303841</v>
      </c>
      <c r="L306" s="47">
        <f>AVERAGE(L303,K303)*$D$305</f>
        <v>5004.6275536295097</v>
      </c>
      <c r="M306" s="47">
        <f t="shared" ref="M306:O306" si="142">AVERAGE(M303,L303)*$D$305</f>
        <v>6122.2056547930551</v>
      </c>
      <c r="N306" s="47">
        <f t="shared" si="142"/>
        <v>7276.0093894729916</v>
      </c>
      <c r="O306" s="47">
        <f t="shared" si="142"/>
        <v>9034.5801027708112</v>
      </c>
    </row>
    <row r="307" spans="2:15">
      <c r="B307" s="11"/>
      <c r="F307" s="31"/>
      <c r="G307" s="31"/>
      <c r="H307" s="31"/>
      <c r="I307" s="31"/>
      <c r="J307" s="31"/>
      <c r="K307" s="31"/>
      <c r="L307" s="31"/>
      <c r="M307" s="31"/>
      <c r="N307" s="31"/>
      <c r="O307" s="31"/>
    </row>
    <row r="308" spans="2:15">
      <c r="C308" s="11"/>
      <c r="F308" s="31"/>
      <c r="G308" s="31"/>
      <c r="H308" s="31"/>
      <c r="I308" s="31"/>
      <c r="J308" s="31"/>
      <c r="K308" s="31"/>
      <c r="L308" s="31"/>
      <c r="M308" s="31"/>
      <c r="N308" s="31"/>
      <c r="O308" s="31"/>
    </row>
    <row r="309" spans="2:15">
      <c r="B309" s="11" t="s">
        <v>36</v>
      </c>
      <c r="C309" s="11"/>
      <c r="F309" s="31"/>
      <c r="G309" s="31"/>
      <c r="H309" s="31"/>
      <c r="I309" s="31"/>
      <c r="J309" s="31"/>
      <c r="K309" s="31"/>
      <c r="L309" s="31"/>
      <c r="M309" s="31"/>
      <c r="N309" s="31"/>
      <c r="O309" s="31"/>
    </row>
    <row r="310" spans="2:15">
      <c r="C310" s="11"/>
      <c r="F310" s="31"/>
      <c r="G310" s="31"/>
      <c r="H310" s="31"/>
      <c r="I310" s="31"/>
      <c r="J310" s="31"/>
      <c r="K310" s="31"/>
      <c r="L310" s="31"/>
      <c r="M310" s="31"/>
      <c r="N310" s="31"/>
      <c r="O310" s="31"/>
    </row>
    <row r="311" spans="2:15">
      <c r="C311" s="57" t="s">
        <v>145</v>
      </c>
      <c r="F311" s="31"/>
      <c r="G311" s="31"/>
      <c r="H311" s="31"/>
      <c r="I311" s="31"/>
      <c r="J311" s="31"/>
      <c r="K311" s="31">
        <f>J313</f>
        <v>65648</v>
      </c>
      <c r="L311" s="31">
        <f>K313</f>
        <v>65248</v>
      </c>
      <c r="M311" s="31">
        <f t="shared" ref="M311:O311" si="143">L313</f>
        <v>64798</v>
      </c>
      <c r="N311" s="31">
        <f t="shared" si="143"/>
        <v>64373</v>
      </c>
      <c r="O311" s="31">
        <f t="shared" si="143"/>
        <v>63948</v>
      </c>
    </row>
    <row r="312" spans="2:15">
      <c r="B312" s="11"/>
      <c r="C312" s="57" t="s">
        <v>146</v>
      </c>
      <c r="F312" s="24"/>
      <c r="G312" s="24"/>
      <c r="H312" s="31"/>
      <c r="I312" s="31"/>
      <c r="J312" s="31"/>
      <c r="K312" s="24">
        <f>Input!G67</f>
        <v>-400</v>
      </c>
      <c r="L312" s="24">
        <f>Input!H67</f>
        <v>-450</v>
      </c>
      <c r="M312" s="24">
        <f>Input!I67</f>
        <v>-425</v>
      </c>
      <c r="N312" s="24">
        <f>Input!J67</f>
        <v>-425</v>
      </c>
      <c r="O312" s="24">
        <f>Input!K67</f>
        <v>-433.33333333333331</v>
      </c>
    </row>
    <row r="313" spans="2:15">
      <c r="B313" s="11"/>
      <c r="C313" t="s">
        <v>147</v>
      </c>
      <c r="F313" s="24"/>
      <c r="G313" s="82"/>
      <c r="H313" s="81"/>
      <c r="I313" s="81"/>
      <c r="J313" s="80">
        <f>J120</f>
        <v>65648</v>
      </c>
      <c r="K313" s="81">
        <f>SUM(K311:K312)</f>
        <v>65248</v>
      </c>
      <c r="L313" s="81">
        <f>SUM(L311:L312)</f>
        <v>64798</v>
      </c>
      <c r="M313" s="81">
        <f t="shared" ref="M313:O313" si="144">SUM(M311:M312)</f>
        <v>64373</v>
      </c>
      <c r="N313" s="81">
        <f t="shared" si="144"/>
        <v>63948</v>
      </c>
      <c r="O313" s="81">
        <f t="shared" si="144"/>
        <v>63514.666666666664</v>
      </c>
    </row>
    <row r="314" spans="2:15">
      <c r="B314" s="11"/>
      <c r="F314" s="24"/>
      <c r="G314" s="24"/>
      <c r="H314" s="31"/>
      <c r="I314" s="31"/>
      <c r="J314" s="31"/>
      <c r="K314" s="31"/>
      <c r="L314" s="31"/>
      <c r="M314" s="31"/>
      <c r="N314" s="31"/>
      <c r="O314" s="31"/>
    </row>
    <row r="315" spans="2:15" ht="15" thickBot="1">
      <c r="B315" s="11"/>
      <c r="C315" t="s">
        <v>148</v>
      </c>
      <c r="D315" s="57">
        <f>Input!F93</f>
        <v>0.15</v>
      </c>
      <c r="F315" s="31"/>
      <c r="G315" s="31"/>
      <c r="H315" s="31"/>
      <c r="I315" s="31"/>
      <c r="J315" s="31"/>
      <c r="K315" s="31"/>
      <c r="L315" s="31"/>
      <c r="M315" s="31"/>
      <c r="N315" s="31"/>
      <c r="O315" s="31"/>
    </row>
    <row r="316" spans="2:15" ht="15" thickBot="1">
      <c r="B316" s="11"/>
      <c r="C316" t="s">
        <v>149</v>
      </c>
      <c r="F316" s="31"/>
      <c r="G316" s="83"/>
      <c r="H316" s="84"/>
      <c r="I316" s="84"/>
      <c r="J316" s="84"/>
      <c r="K316" s="84">
        <f>AVERAGE(J313:K313)*$D$315</f>
        <v>9817.1999999999989</v>
      </c>
      <c r="L316" s="84">
        <f>AVERAGE(K313:L313)*$D$315</f>
        <v>9753.4499999999989</v>
      </c>
      <c r="M316" s="84">
        <f t="shared" ref="M316:O316" si="145">AVERAGE(L313:M313)*$D$315</f>
        <v>9687.8249999999989</v>
      </c>
      <c r="N316" s="84">
        <f t="shared" si="145"/>
        <v>9624.0749999999989</v>
      </c>
      <c r="O316" s="84">
        <f t="shared" si="145"/>
        <v>9559.6999999999989</v>
      </c>
    </row>
    <row r="317" spans="2:15">
      <c r="F317" s="31"/>
      <c r="G317" s="31"/>
      <c r="H317" s="31"/>
      <c r="I317" s="31"/>
      <c r="J317" s="31"/>
      <c r="K317" s="31"/>
      <c r="L317" s="31"/>
      <c r="M317" s="31"/>
      <c r="N317" s="31"/>
      <c r="O317" s="31"/>
    </row>
    <row r="318" spans="2:15">
      <c r="F318" s="31"/>
      <c r="G318" s="31"/>
      <c r="H318" s="31"/>
      <c r="I318" s="31"/>
      <c r="J318" s="31"/>
      <c r="K318" s="31"/>
      <c r="L318" s="31"/>
      <c r="M318" s="31"/>
      <c r="N318" s="31"/>
      <c r="O318" s="31"/>
    </row>
    <row r="319" spans="2:15">
      <c r="C319" s="11"/>
      <c r="F319" s="31"/>
      <c r="G319" s="31"/>
      <c r="H319" s="31"/>
      <c r="I319" s="31"/>
      <c r="J319" s="31"/>
      <c r="K319" s="31"/>
      <c r="L319" s="31"/>
      <c r="M319" s="31"/>
      <c r="N319" s="31"/>
      <c r="O319" s="31"/>
    </row>
    <row r="320" spans="2:15">
      <c r="C320" s="11"/>
      <c r="F320" s="31"/>
      <c r="G320" s="31"/>
      <c r="H320" s="31"/>
      <c r="I320" s="31"/>
      <c r="J320" s="31"/>
      <c r="K320" s="31"/>
      <c r="L320" s="31"/>
      <c r="M320" s="31"/>
      <c r="N320" s="31"/>
      <c r="O320" s="31"/>
    </row>
    <row r="321" spans="1:32">
      <c r="F321" s="31"/>
      <c r="G321" s="31"/>
      <c r="H321" s="31"/>
      <c r="I321" s="31"/>
      <c r="J321" s="31"/>
      <c r="K321" s="31"/>
      <c r="L321" s="31"/>
      <c r="M321" s="31"/>
      <c r="N321" s="31"/>
      <c r="O321" s="31"/>
    </row>
    <row r="322" spans="1:32" ht="46.2">
      <c r="A322" s="21" t="s">
        <v>150</v>
      </c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</row>
    <row r="323" spans="1:32" ht="46.2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</row>
    <row r="324" spans="1:32" ht="46.2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</row>
    <row r="325" spans="1:32">
      <c r="C325" s="1" t="s">
        <v>246</v>
      </c>
    </row>
    <row r="326" spans="1:32">
      <c r="C326" s="1"/>
    </row>
    <row r="327" spans="1:32">
      <c r="C327" s="1"/>
      <c r="I327" s="27">
        <f t="shared" ref="I327:L327" si="146">I295</f>
        <v>2024</v>
      </c>
      <c r="J327" s="27">
        <f t="shared" si="146"/>
        <v>2025</v>
      </c>
      <c r="K327" s="27" t="str">
        <f t="shared" si="146"/>
        <v>2026F</v>
      </c>
      <c r="L327" s="27" t="str">
        <f t="shared" si="146"/>
        <v>2027F</v>
      </c>
      <c r="M327" s="27" t="str">
        <f>M295</f>
        <v>2028F</v>
      </c>
      <c r="N327" s="27" t="str">
        <f t="shared" ref="N327:O327" si="147">N295</f>
        <v>2029F</v>
      </c>
      <c r="O327" s="27" t="str">
        <f t="shared" si="147"/>
        <v>2030F</v>
      </c>
    </row>
    <row r="329" spans="1:32">
      <c r="B329" s="11"/>
      <c r="I329" s="86"/>
      <c r="J329" s="86"/>
      <c r="K329" s="86"/>
      <c r="L329" s="87"/>
    </row>
    <row r="330" spans="1:32">
      <c r="F330" s="31"/>
      <c r="G330" s="31"/>
      <c r="H330" s="31"/>
      <c r="I330" s="31"/>
      <c r="J330" s="31"/>
      <c r="K330" s="31"/>
      <c r="L330" s="31"/>
    </row>
    <row r="331" spans="1:32">
      <c r="B331" s="11" t="s">
        <v>151</v>
      </c>
      <c r="F331" s="31"/>
      <c r="G331" s="31"/>
      <c r="H331" s="31"/>
      <c r="I331" s="31"/>
      <c r="J331" s="31"/>
      <c r="K331" s="31"/>
      <c r="L331" s="31"/>
    </row>
    <row r="332" spans="1:32">
      <c r="B332" s="11"/>
      <c r="F332" s="31"/>
      <c r="G332" s="31"/>
      <c r="H332" s="31"/>
      <c r="I332" s="31"/>
      <c r="J332" s="31"/>
      <c r="K332" s="31"/>
      <c r="L332" s="31"/>
      <c r="M332" s="31"/>
      <c r="N332" s="31"/>
      <c r="O332" s="31"/>
    </row>
    <row r="333" spans="1:32">
      <c r="B333" s="11"/>
      <c r="C333" s="57" t="s">
        <v>145</v>
      </c>
      <c r="F333" s="31"/>
      <c r="G333" s="31"/>
      <c r="H333" s="31"/>
      <c r="I333" s="31"/>
      <c r="J333" s="40">
        <f>J93</f>
        <v>86810</v>
      </c>
      <c r="K333" s="40">
        <f>J339</f>
        <v>34021.999999999971</v>
      </c>
      <c r="L333" s="40">
        <f>K339</f>
        <v>33744.422209215329</v>
      </c>
      <c r="M333" s="40">
        <f t="shared" ref="M333:O333" si="148">L339</f>
        <v>63364.679935964989</v>
      </c>
      <c r="N333" s="40">
        <f t="shared" si="148"/>
        <v>80197.54625575713</v>
      </c>
      <c r="O333" s="40">
        <f t="shared" si="148"/>
        <v>111216.82932316246</v>
      </c>
    </row>
    <row r="334" spans="1:32">
      <c r="B334" s="11"/>
      <c r="C334" s="57" t="s">
        <v>152</v>
      </c>
      <c r="F334" s="31"/>
      <c r="G334" s="31"/>
      <c r="H334" s="31"/>
      <c r="I334" s="31"/>
      <c r="J334" s="24">
        <f>J55</f>
        <v>99417.999999999971</v>
      </c>
      <c r="K334" s="40">
        <f>K55</f>
        <v>105103.22420921533</v>
      </c>
      <c r="L334" s="40">
        <f t="shared" ref="L334:O334" si="149">L55</f>
        <v>138351.52286674967</v>
      </c>
      <c r="M334" s="40">
        <f t="shared" si="149"/>
        <v>125090.42614734214</v>
      </c>
      <c r="N334" s="40">
        <f t="shared" si="149"/>
        <v>140058.77438433695</v>
      </c>
      <c r="O334" s="40">
        <f t="shared" si="149"/>
        <v>151368.23827542597</v>
      </c>
    </row>
    <row r="335" spans="1:32">
      <c r="B335" s="11"/>
      <c r="C335" t="s">
        <v>153</v>
      </c>
      <c r="F335" s="31"/>
      <c r="G335" s="24"/>
      <c r="H335" s="24"/>
      <c r="I335" s="24"/>
      <c r="J335" s="24">
        <f>J61</f>
        <v>-142545</v>
      </c>
      <c r="K335" s="40">
        <f t="shared" ref="K335:L335" si="150">K61</f>
        <v>-95000</v>
      </c>
      <c r="L335" s="40">
        <f t="shared" si="150"/>
        <v>-97500</v>
      </c>
      <c r="M335" s="40">
        <f t="shared" ref="M335:O335" si="151">M61</f>
        <v>-96250</v>
      </c>
      <c r="N335" s="40">
        <f t="shared" si="151"/>
        <v>-96250</v>
      </c>
      <c r="O335" s="40">
        <f t="shared" si="151"/>
        <v>-96666.666666666672</v>
      </c>
    </row>
    <row r="336" spans="1:32">
      <c r="B336" s="11"/>
      <c r="C336" t="s">
        <v>154</v>
      </c>
      <c r="F336" s="24"/>
      <c r="G336" s="88"/>
      <c r="H336" s="24"/>
      <c r="I336" s="24"/>
      <c r="J336" s="24">
        <f>-J67</f>
        <v>-9661</v>
      </c>
      <c r="K336" s="24">
        <f t="shared" ref="K336:L336" si="152">-K67</f>
        <v>400</v>
      </c>
      <c r="L336" s="24">
        <f t="shared" si="152"/>
        <v>450</v>
      </c>
      <c r="M336" s="24">
        <f t="shared" ref="M336:O336" si="153">-M67</f>
        <v>425</v>
      </c>
      <c r="N336" s="24">
        <f t="shared" si="153"/>
        <v>425</v>
      </c>
      <c r="O336" s="24">
        <f t="shared" si="153"/>
        <v>433.33333333333331</v>
      </c>
    </row>
    <row r="337" spans="2:15">
      <c r="B337" s="11"/>
      <c r="C337" t="s">
        <v>156</v>
      </c>
      <c r="D337" s="57"/>
      <c r="F337" s="24"/>
      <c r="G337" s="24"/>
      <c r="H337" s="24"/>
      <c r="I337" s="24"/>
      <c r="J337" s="24"/>
      <c r="K337" s="24">
        <f>Input!G66</f>
        <v>-2500</v>
      </c>
      <c r="L337" s="24">
        <f>Input!H66</f>
        <v>-2500</v>
      </c>
      <c r="M337" s="24">
        <f>Input!I66</f>
        <v>-2500</v>
      </c>
      <c r="N337" s="24">
        <f>Input!J66</f>
        <v>-2500</v>
      </c>
      <c r="O337" s="24">
        <f>Input!K66</f>
        <v>-2500</v>
      </c>
    </row>
    <row r="338" spans="2:15" ht="15" thickBot="1">
      <c r="B338" s="11"/>
      <c r="C338" t="s">
        <v>157</v>
      </c>
      <c r="F338" s="24"/>
      <c r="G338" s="24"/>
      <c r="H338" s="24"/>
      <c r="I338" s="24"/>
      <c r="J338" s="24">
        <f>J70</f>
        <v>0</v>
      </c>
      <c r="K338" s="24">
        <f t="shared" ref="K338" si="154">K70</f>
        <v>-8280.8019999999869</v>
      </c>
      <c r="L338" s="24">
        <f>L70</f>
        <v>-9181.2651400000013</v>
      </c>
      <c r="M338" s="24">
        <f t="shared" ref="M338:O338" si="155">M70</f>
        <v>-9932.559827549996</v>
      </c>
      <c r="N338" s="24">
        <f t="shared" si="155"/>
        <v>-10714.491316931628</v>
      </c>
      <c r="O338" s="24">
        <f t="shared" si="155"/>
        <v>-11594.692810918554</v>
      </c>
    </row>
    <row r="339" spans="2:15" ht="15" thickBot="1">
      <c r="B339" s="11"/>
      <c r="C339" t="s">
        <v>158</v>
      </c>
      <c r="F339" s="59"/>
      <c r="G339" s="47"/>
      <c r="H339" s="47"/>
      <c r="I339" s="47"/>
      <c r="J339" s="47">
        <f>SUM(J333:J338)</f>
        <v>34021.999999999971</v>
      </c>
      <c r="K339" s="47">
        <f>SUM(K333:K338)</f>
        <v>33744.422209215329</v>
      </c>
      <c r="L339" s="47">
        <f>SUM(L333:L338)</f>
        <v>63364.679935964989</v>
      </c>
      <c r="M339" s="47">
        <f t="shared" ref="M339:O339" si="156">SUM(M333:M338)</f>
        <v>80197.54625575713</v>
      </c>
      <c r="N339" s="47">
        <f t="shared" si="156"/>
        <v>111216.82932316246</v>
      </c>
      <c r="O339" s="47">
        <f t="shared" si="156"/>
        <v>152257.04145433652</v>
      </c>
    </row>
    <row r="340" spans="2:15">
      <c r="C340" s="11"/>
      <c r="F340" s="31"/>
      <c r="G340" s="31"/>
      <c r="H340" s="31"/>
      <c r="I340" s="31"/>
      <c r="J340" s="31"/>
      <c r="K340" s="31"/>
      <c r="L340" s="31"/>
      <c r="M340" s="31"/>
      <c r="N340" s="31"/>
      <c r="O340" s="31"/>
    </row>
    <row r="341" spans="2:15">
      <c r="N341" s="31"/>
      <c r="O341" s="31"/>
    </row>
    <row r="342" spans="2:15">
      <c r="N342" s="31"/>
      <c r="O342" s="31"/>
    </row>
    <row r="343" spans="2:15">
      <c r="N343" s="31"/>
      <c r="O343" s="31"/>
    </row>
    <row r="344" spans="2:15">
      <c r="N344" s="31"/>
      <c r="O344" s="31"/>
    </row>
    <row r="345" spans="2:15">
      <c r="N345" s="31"/>
      <c r="O345" s="31"/>
    </row>
    <row r="346" spans="2:15">
      <c r="N346" s="31"/>
      <c r="O346" s="31"/>
    </row>
    <row r="347" spans="2:15">
      <c r="N347" s="31"/>
      <c r="O347" s="31"/>
    </row>
    <row r="348" spans="2:15">
      <c r="N348" s="31"/>
      <c r="O348" s="31"/>
    </row>
    <row r="349" spans="2:15" ht="14.4" customHeight="1">
      <c r="N349" s="31"/>
      <c r="O349" s="31"/>
    </row>
    <row r="350" spans="2:15" ht="14.4" customHeight="1">
      <c r="N350" s="31"/>
      <c r="O350" s="31"/>
    </row>
    <row r="351" spans="2:15" ht="14.4" customHeight="1">
      <c r="N351" s="31"/>
      <c r="O351" s="31"/>
    </row>
    <row r="352" spans="2:15">
      <c r="N352" s="31"/>
      <c r="O352" s="31"/>
    </row>
    <row r="353" spans="1:32">
      <c r="N353" s="31"/>
      <c r="O353" s="31"/>
    </row>
    <row r="354" spans="1:32">
      <c r="N354" s="31"/>
      <c r="O354" s="31"/>
    </row>
    <row r="355" spans="1:32">
      <c r="F355" s="31"/>
      <c r="G355" s="31"/>
      <c r="H355" s="31"/>
      <c r="I355" s="31"/>
      <c r="J355" s="31"/>
      <c r="K355" s="31"/>
      <c r="L355" s="31"/>
      <c r="M355" s="31"/>
      <c r="N355" s="31"/>
      <c r="O355" s="31"/>
    </row>
    <row r="359" spans="1:32" ht="46.2">
      <c r="A359" s="21" t="s">
        <v>159</v>
      </c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</row>
    <row r="360" spans="1:32" ht="46.2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</row>
    <row r="361" spans="1:32" ht="46.2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</row>
    <row r="362" spans="1:32">
      <c r="C362" s="1" t="s">
        <v>246</v>
      </c>
    </row>
    <row r="363" spans="1:32">
      <c r="C363" s="1"/>
    </row>
    <row r="364" spans="1:32">
      <c r="C364" s="1"/>
      <c r="I364" s="27">
        <f t="shared" ref="I364:L364" si="157">I327</f>
        <v>2024</v>
      </c>
      <c r="J364" s="27">
        <f t="shared" si="157"/>
        <v>2025</v>
      </c>
      <c r="K364" s="27" t="str">
        <f t="shared" si="157"/>
        <v>2026F</v>
      </c>
      <c r="L364" s="27" t="str">
        <f t="shared" si="157"/>
        <v>2027F</v>
      </c>
      <c r="M364" s="27" t="str">
        <f>M327</f>
        <v>2028F</v>
      </c>
      <c r="N364" s="27" t="str">
        <f t="shared" ref="N364:O364" si="158">N327</f>
        <v>2029F</v>
      </c>
      <c r="O364" s="27" t="str">
        <f t="shared" si="158"/>
        <v>2030F</v>
      </c>
    </row>
    <row r="366" spans="1:32">
      <c r="B366" s="11" t="s">
        <v>160</v>
      </c>
      <c r="I366" s="85">
        <f t="shared" ref="I366:L366" si="159">I36</f>
        <v>59248</v>
      </c>
      <c r="J366" s="85">
        <f t="shared" si="159"/>
        <v>77670</v>
      </c>
      <c r="K366" s="120">
        <f t="shared" si="159"/>
        <v>82808.019999999859</v>
      </c>
      <c r="L366" s="120">
        <f t="shared" si="159"/>
        <v>91812.651400000002</v>
      </c>
      <c r="M366" s="120">
        <f t="shared" ref="M366:O366" si="160">M36</f>
        <v>99325.598275499957</v>
      </c>
      <c r="N366" s="120">
        <f t="shared" si="160"/>
        <v>107144.91316931628</v>
      </c>
      <c r="O366" s="120">
        <f t="shared" si="160"/>
        <v>115946.92810918554</v>
      </c>
    </row>
    <row r="367" spans="1:32">
      <c r="F367" s="31"/>
      <c r="G367" s="31"/>
      <c r="H367" s="31"/>
      <c r="I367" s="31"/>
      <c r="J367" s="31"/>
      <c r="K367" s="31"/>
      <c r="L367" s="31"/>
      <c r="M367" s="31"/>
      <c r="N367" s="31"/>
      <c r="O367" s="31"/>
    </row>
    <row r="368" spans="1:32">
      <c r="B368" s="11"/>
      <c r="F368" s="31"/>
      <c r="G368" s="31"/>
      <c r="H368" s="31"/>
      <c r="I368" s="31"/>
      <c r="J368" s="31"/>
      <c r="K368" s="31"/>
      <c r="L368" s="31"/>
      <c r="M368" s="31"/>
      <c r="N368" s="31"/>
      <c r="O368" s="31"/>
    </row>
    <row r="369" spans="2:15">
      <c r="B369" s="11" t="s">
        <v>21</v>
      </c>
      <c r="F369" s="31"/>
      <c r="G369" s="31"/>
      <c r="H369" s="31"/>
      <c r="I369" s="31"/>
      <c r="J369" s="31"/>
      <c r="K369" s="31"/>
      <c r="L369" s="31"/>
      <c r="M369" s="31"/>
      <c r="N369" s="31"/>
      <c r="O369" s="31"/>
    </row>
    <row r="370" spans="2:15">
      <c r="B370" s="11"/>
      <c r="C370" s="57"/>
      <c r="F370" s="31"/>
      <c r="G370" s="31"/>
      <c r="H370" s="31"/>
      <c r="I370" s="31"/>
      <c r="J370" s="31"/>
      <c r="K370" s="31"/>
      <c r="L370" s="31"/>
      <c r="M370" s="31"/>
      <c r="N370" s="31"/>
      <c r="O370" s="31"/>
    </row>
    <row r="371" spans="2:15">
      <c r="B371" s="11"/>
      <c r="C371" s="57" t="s">
        <v>145</v>
      </c>
      <c r="F371" s="31"/>
      <c r="G371" s="31"/>
      <c r="H371" s="31"/>
      <c r="I371" s="31"/>
      <c r="J371" s="31"/>
      <c r="K371" s="31">
        <f>J373</f>
        <v>160529</v>
      </c>
      <c r="L371" s="31">
        <f>K373</f>
        <v>158029</v>
      </c>
      <c r="M371" s="31">
        <f t="shared" ref="M371:O371" si="161">L373</f>
        <v>155529</v>
      </c>
      <c r="N371" s="31">
        <f t="shared" si="161"/>
        <v>153029</v>
      </c>
      <c r="O371" s="31">
        <f t="shared" si="161"/>
        <v>150529</v>
      </c>
    </row>
    <row r="372" spans="2:15" ht="15" thickBot="1">
      <c r="B372" s="11"/>
      <c r="C372" s="57" t="s">
        <v>146</v>
      </c>
      <c r="F372" s="31"/>
      <c r="G372" s="24"/>
      <c r="H372" s="40"/>
      <c r="I372" s="40"/>
      <c r="J372" s="40"/>
      <c r="K372" s="24">
        <f>Input!G66</f>
        <v>-2500</v>
      </c>
      <c r="L372" s="24">
        <f>Input!H66</f>
        <v>-2500</v>
      </c>
      <c r="M372" s="24">
        <f>Input!I66</f>
        <v>-2500</v>
      </c>
      <c r="N372" s="24">
        <f>Input!J66</f>
        <v>-2500</v>
      </c>
      <c r="O372" s="24">
        <f>Input!K66</f>
        <v>-2500</v>
      </c>
    </row>
    <row r="373" spans="2:15" ht="15" thickBot="1">
      <c r="B373" s="11"/>
      <c r="C373" t="s">
        <v>147</v>
      </c>
      <c r="F373" s="24"/>
      <c r="G373" s="90"/>
      <c r="H373" s="47"/>
      <c r="I373" s="47"/>
      <c r="J373" s="47">
        <f>Model!J126</f>
        <v>160529</v>
      </c>
      <c r="K373" s="47">
        <f>SUM(K371:K372)</f>
        <v>158029</v>
      </c>
      <c r="L373" s="47">
        <f>SUM(L371:L372)</f>
        <v>155529</v>
      </c>
      <c r="M373" s="47">
        <f t="shared" ref="M373:O373" si="162">SUM(M371:M372)</f>
        <v>153029</v>
      </c>
      <c r="N373" s="47">
        <f t="shared" si="162"/>
        <v>150529</v>
      </c>
      <c r="O373" s="47">
        <f t="shared" si="162"/>
        <v>148029</v>
      </c>
    </row>
    <row r="374" spans="2:15">
      <c r="B374" s="11"/>
      <c r="D374" s="57"/>
      <c r="F374" s="24"/>
      <c r="G374" s="24"/>
      <c r="H374" s="24"/>
      <c r="I374" s="24"/>
      <c r="J374" s="24"/>
      <c r="K374" s="24"/>
      <c r="L374" s="24"/>
      <c r="M374" s="24"/>
      <c r="N374" s="24"/>
      <c r="O374" s="24"/>
    </row>
    <row r="375" spans="2:15">
      <c r="B375" s="11"/>
      <c r="F375" s="24"/>
      <c r="G375" s="24"/>
      <c r="H375" s="24"/>
      <c r="I375" s="24"/>
      <c r="J375" s="24"/>
      <c r="K375" s="24"/>
      <c r="L375" s="24"/>
      <c r="M375" s="24"/>
      <c r="N375" s="24"/>
      <c r="O375" s="24"/>
    </row>
    <row r="376" spans="2:15">
      <c r="B376" s="11"/>
      <c r="C376" t="s">
        <v>160</v>
      </c>
      <c r="F376" s="24"/>
      <c r="G376" s="24">
        <f>G366</f>
        <v>0</v>
      </c>
      <c r="H376" s="24">
        <f t="shared" ref="H376:L376" si="163">H366</f>
        <v>0</v>
      </c>
      <c r="I376" s="24">
        <f t="shared" si="163"/>
        <v>59248</v>
      </c>
      <c r="J376" s="24">
        <f t="shared" si="163"/>
        <v>77670</v>
      </c>
      <c r="K376" s="40">
        <f t="shared" si="163"/>
        <v>82808.019999999859</v>
      </c>
      <c r="L376" s="40">
        <f t="shared" si="163"/>
        <v>91812.651400000002</v>
      </c>
      <c r="M376" s="40">
        <f t="shared" ref="M376:O376" si="164">M366</f>
        <v>99325.598275499957</v>
      </c>
      <c r="N376" s="40">
        <f t="shared" si="164"/>
        <v>107144.91316931628</v>
      </c>
      <c r="O376" s="40">
        <f t="shared" si="164"/>
        <v>115946.92810918554</v>
      </c>
    </row>
    <row r="377" spans="2:15" ht="15" thickBot="1">
      <c r="C377" s="11" t="s">
        <v>161</v>
      </c>
      <c r="D377" s="57">
        <f>Input!F94</f>
        <v>0.1</v>
      </c>
      <c r="F377" s="91"/>
      <c r="G377" s="91"/>
      <c r="H377" s="91"/>
      <c r="I377" s="91"/>
      <c r="J377" s="91"/>
      <c r="K377" s="91"/>
      <c r="L377" s="91"/>
      <c r="M377" s="91"/>
      <c r="N377" s="91"/>
      <c r="O377" s="91"/>
    </row>
    <row r="378" spans="2:15" ht="15" thickBot="1">
      <c r="B378" s="11"/>
      <c r="C378" s="11" t="s">
        <v>157</v>
      </c>
      <c r="F378" s="31"/>
      <c r="G378" s="92"/>
      <c r="H378" s="83"/>
      <c r="I378" s="83"/>
      <c r="J378" s="83"/>
      <c r="K378" s="59">
        <f>K376*$D$377</f>
        <v>8280.8019999999869</v>
      </c>
      <c r="L378" s="59">
        <f>L376*$D$377</f>
        <v>9181.2651400000013</v>
      </c>
      <c r="M378" s="59">
        <f t="shared" ref="M378:O378" si="165">M376*$D$377</f>
        <v>9932.559827549996</v>
      </c>
      <c r="N378" s="59">
        <f t="shared" si="165"/>
        <v>10714.491316931628</v>
      </c>
      <c r="O378" s="59">
        <f t="shared" si="165"/>
        <v>11594.692810918554</v>
      </c>
    </row>
    <row r="379" spans="2:15">
      <c r="C379" s="11"/>
      <c r="F379" s="31"/>
      <c r="G379" s="31"/>
      <c r="H379" s="31"/>
      <c r="I379" s="31"/>
      <c r="J379" s="31"/>
      <c r="K379" s="31"/>
      <c r="L379" s="31"/>
      <c r="M379" s="31"/>
      <c r="N379" s="31"/>
      <c r="O379" s="31"/>
    </row>
    <row r="380" spans="2:15">
      <c r="C380" s="57"/>
      <c r="F380" s="31"/>
      <c r="G380" s="89"/>
      <c r="H380" s="40"/>
      <c r="I380" s="40"/>
      <c r="J380" s="40"/>
      <c r="K380" s="40"/>
      <c r="L380" s="40"/>
      <c r="M380" s="40"/>
      <c r="N380" s="40"/>
      <c r="O380" s="40"/>
    </row>
    <row r="381" spans="2:15">
      <c r="B381" s="11"/>
      <c r="C381" s="57"/>
      <c r="F381" s="24"/>
      <c r="G381" s="24"/>
      <c r="H381" s="24"/>
      <c r="I381" s="24"/>
      <c r="J381" s="24"/>
      <c r="K381" s="24"/>
      <c r="L381" s="24"/>
      <c r="M381" s="24"/>
      <c r="N381" s="24"/>
      <c r="O381" s="24"/>
    </row>
    <row r="382" spans="2:15">
      <c r="B382" s="11"/>
      <c r="F382" s="24"/>
      <c r="G382" s="24"/>
      <c r="H382" s="24"/>
      <c r="I382" s="24"/>
      <c r="J382" s="24"/>
      <c r="K382" s="24"/>
      <c r="L382" s="24"/>
      <c r="M382" s="24"/>
      <c r="N382" s="24"/>
      <c r="O382" s="24"/>
    </row>
    <row r="383" spans="2:15">
      <c r="B383" s="11" t="s">
        <v>162</v>
      </c>
      <c r="F383" s="24"/>
      <c r="G383" s="24"/>
      <c r="H383" s="31"/>
      <c r="I383" s="31"/>
      <c r="J383" s="31"/>
      <c r="K383" s="31"/>
      <c r="L383" s="31"/>
      <c r="M383" s="31"/>
      <c r="N383" s="31"/>
      <c r="O383" s="31"/>
    </row>
    <row r="384" spans="2:15">
      <c r="B384" s="11"/>
      <c r="D384" s="13"/>
      <c r="F384" s="31"/>
      <c r="G384" s="31"/>
      <c r="H384" s="31"/>
      <c r="I384" s="31"/>
      <c r="J384" s="31"/>
      <c r="K384" s="31"/>
      <c r="L384" s="31"/>
      <c r="M384" s="31"/>
      <c r="N384" s="31"/>
      <c r="O384" s="31"/>
    </row>
    <row r="385" spans="2:15" ht="14.4" customHeight="1">
      <c r="B385" s="11"/>
      <c r="C385" s="57" t="s">
        <v>145</v>
      </c>
      <c r="F385" s="31"/>
      <c r="G385" s="31"/>
      <c r="H385" s="31"/>
      <c r="I385" s="31"/>
      <c r="J385" s="31"/>
      <c r="K385" s="31">
        <f>J388</f>
        <v>250536</v>
      </c>
      <c r="L385" s="31">
        <f>K388</f>
        <v>325063.21799999988</v>
      </c>
      <c r="M385" s="31">
        <f t="shared" ref="M385:O385" si="166">L388</f>
        <v>407694.60425999988</v>
      </c>
      <c r="N385" s="31">
        <f t="shared" si="166"/>
        <v>497087.6427079498</v>
      </c>
      <c r="O385" s="31">
        <f t="shared" si="166"/>
        <v>593518.06456033443</v>
      </c>
    </row>
    <row r="386" spans="2:15" ht="14.4" customHeight="1">
      <c r="C386" s="57" t="s">
        <v>160</v>
      </c>
      <c r="F386" s="31"/>
      <c r="G386" s="31"/>
      <c r="H386" s="31"/>
      <c r="I386" s="31"/>
      <c r="J386" s="31"/>
      <c r="K386" s="31">
        <f t="shared" ref="K386:L386" si="167">K366</f>
        <v>82808.019999999859</v>
      </c>
      <c r="L386" s="31">
        <f t="shared" si="167"/>
        <v>91812.651400000002</v>
      </c>
      <c r="M386" s="31">
        <f t="shared" ref="M386:O386" si="168">M366</f>
        <v>99325.598275499957</v>
      </c>
      <c r="N386" s="31">
        <f t="shared" si="168"/>
        <v>107144.91316931628</v>
      </c>
      <c r="O386" s="31">
        <f t="shared" si="168"/>
        <v>115946.92810918554</v>
      </c>
    </row>
    <row r="387" spans="2:15" ht="14.4" customHeight="1" thickBot="1">
      <c r="C387" t="s">
        <v>157</v>
      </c>
      <c r="F387" s="31"/>
      <c r="G387" s="31"/>
      <c r="H387" s="31"/>
      <c r="I387" s="31"/>
      <c r="J387" s="31"/>
      <c r="K387" s="31">
        <f>-K378</f>
        <v>-8280.8019999999869</v>
      </c>
      <c r="L387" s="31">
        <f>-L378</f>
        <v>-9181.2651400000013</v>
      </c>
      <c r="M387" s="31">
        <f t="shared" ref="M387:O387" si="169">-M378</f>
        <v>-9932.559827549996</v>
      </c>
      <c r="N387" s="31">
        <f t="shared" si="169"/>
        <v>-10714.491316931628</v>
      </c>
      <c r="O387" s="31">
        <f t="shared" si="169"/>
        <v>-11594.692810918554</v>
      </c>
    </row>
    <row r="388" spans="2:15" ht="15" thickBot="1">
      <c r="C388" t="s">
        <v>147</v>
      </c>
      <c r="F388" s="31"/>
      <c r="G388" s="46"/>
      <c r="H388" s="47"/>
      <c r="I388" s="47"/>
      <c r="J388" s="47">
        <f>J127</f>
        <v>250536</v>
      </c>
      <c r="K388" s="47">
        <f>SUM(K385:K387)</f>
        <v>325063.21799999988</v>
      </c>
      <c r="L388" s="47">
        <f>SUM(L385:L387)</f>
        <v>407694.60425999988</v>
      </c>
      <c r="M388" s="47">
        <f t="shared" ref="M388:O388" si="170">SUM(M385:M387)</f>
        <v>497087.6427079498</v>
      </c>
      <c r="N388" s="47">
        <f t="shared" si="170"/>
        <v>593518.06456033443</v>
      </c>
      <c r="O388" s="47">
        <f t="shared" si="170"/>
        <v>697870.29985860141</v>
      </c>
    </row>
    <row r="389" spans="2:15">
      <c r="F389" s="31"/>
      <c r="G389" s="31"/>
      <c r="H389" s="31"/>
      <c r="I389" s="31"/>
      <c r="J389" s="31"/>
      <c r="K389" s="31"/>
      <c r="L389" s="31"/>
      <c r="M389" s="31"/>
      <c r="N389" s="31"/>
      <c r="O389" s="31"/>
    </row>
    <row r="390" spans="2:15">
      <c r="F390" s="31"/>
      <c r="G390" s="31"/>
      <c r="H390" s="31"/>
      <c r="I390" s="31"/>
      <c r="J390" s="31"/>
      <c r="K390" s="31"/>
      <c r="L390" s="31"/>
      <c r="M390" s="31"/>
      <c r="N390" s="31"/>
      <c r="O390" s="31"/>
    </row>
    <row r="391" spans="2:15">
      <c r="C391" s="11"/>
      <c r="F391" s="31"/>
      <c r="G391" s="31"/>
      <c r="H391" s="31"/>
      <c r="I391" s="31"/>
      <c r="J391" s="31"/>
      <c r="K391" s="31"/>
      <c r="L391" s="31"/>
      <c r="M391" s="31"/>
      <c r="N391" s="31"/>
      <c r="O391" s="31"/>
    </row>
    <row r="392" spans="2:15">
      <c r="F392" s="31"/>
      <c r="G392" s="31"/>
      <c r="H392" s="31"/>
      <c r="I392" s="31"/>
      <c r="J392" s="31"/>
      <c r="K392" s="31"/>
      <c r="L392" s="31"/>
      <c r="M392" s="31"/>
      <c r="N392" s="31"/>
      <c r="O392" s="31"/>
    </row>
    <row r="417" ht="14.4" customHeight="1"/>
    <row r="418" ht="14.4" customHeight="1"/>
    <row r="419" ht="14.4" customHeight="1"/>
    <row r="454" ht="14.4" customHeight="1"/>
    <row r="455" ht="14.4" customHeight="1"/>
    <row r="456" ht="14.4" customHeight="1"/>
  </sheetData>
  <mergeCells count="6">
    <mergeCell ref="M220:M221"/>
    <mergeCell ref="N220:N221"/>
    <mergeCell ref="O220:O221"/>
    <mergeCell ref="J220:J221"/>
    <mergeCell ref="K220:K221"/>
    <mergeCell ref="L220:L221"/>
  </mergeCells>
  <conditionalFormatting sqref="F150 I150:O150">
    <cfRule type="cellIs" dxfId="2" priority="1" operator="equal">
      <formula>0.95</formula>
    </cfRule>
    <cfRule type="cellIs" dxfId="1" priority="3" operator="equal">
      <formula>"Exceded"</formula>
    </cfRule>
  </conditionalFormatting>
  <conditionalFormatting sqref="F206:O206">
    <cfRule type="cellIs" dxfId="0" priority="2" operator="equal">
      <formula>"Negative"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Output</vt:lpstr>
      <vt:lpstr>Input</vt:lpstr>
      <vt:lpstr>DCF Evaluation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Hinshu Joshi</dc:creator>
  <cp:lastModifiedBy>Hinshu Joshi</cp:lastModifiedBy>
  <dcterms:created xsi:type="dcterms:W3CDTF">2015-06-05T18:17:20Z</dcterms:created>
  <dcterms:modified xsi:type="dcterms:W3CDTF">2026-10-14T12:00:23Z</dcterms:modified>
</cp:coreProperties>
</file>